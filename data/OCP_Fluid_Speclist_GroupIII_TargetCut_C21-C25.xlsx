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Shared drives\OCP CE - Immersion Project\03-Approved submissions\20230818 - Immersion Requirements Rev2.1\"/>
    </mc:Choice>
  </mc:AlternateContent>
  <xr:revisionPtr revIDLastSave="0" documentId="13_ncr:1_{7A349FC0-8A94-445E-9B45-F65230887294}" xr6:coauthVersionLast="47" xr6:coauthVersionMax="47" xr10:uidLastSave="{00000000-0000-0000-0000-000000000000}"/>
  <bookViews>
    <workbookView xWindow="2730" yWindow="2730" windowWidth="43200" windowHeight="17145" xr2:uid="{00000000-000D-0000-FFFF-FFFF00000000}"/>
  </bookViews>
  <sheets>
    <sheet name="Revision, License &amp; Use" sheetId="1" r:id="rId1"/>
    <sheet name="Specification sheet" sheetId="3" r:id="rId2"/>
    <sheet name="GENERATED FLUID SPECSHEET" sheetId="6" r:id="rId3"/>
    <sheet name="Fields" sheetId="5" state="hidden" r:id="rId4"/>
  </sheets>
  <definedNames>
    <definedName name="FLUIDCATEGORY">Fields!$E$2:$F$8</definedName>
    <definedName name="FLUIDTYPE">Fields!$E$2:$F$8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<sst xmlns="http://schemas.openxmlformats.org/spreadsheetml/2006/main" count="227" uniqueCount="194">
  <si>
    <t>Date</t>
  </si>
  <si>
    <t>Version</t>
  </si>
  <si>
    <t>Description</t>
  </si>
  <si>
    <t>This work is licensed under a Creative Commons Attribution 4.0 International License.</t>
  </si>
  <si>
    <t>Single phase</t>
  </si>
  <si>
    <t>IT brand compatibility</t>
  </si>
  <si>
    <t>Minimum req</t>
  </si>
  <si>
    <t>Dielectric strength over lifetime</t>
  </si>
  <si>
    <t>Flash point over lifetime</t>
  </si>
  <si>
    <t>Auto ignition point over lifetime</t>
  </si>
  <si>
    <t>Odor (unsealed solutions only) over lifetime</t>
  </si>
  <si>
    <t>Sulphur content over lifetime</t>
  </si>
  <si>
    <t>Fire point</t>
  </si>
  <si>
    <t>Auto ignition point</t>
  </si>
  <si>
    <t>Pour point</t>
  </si>
  <si>
    <t>Odor</t>
  </si>
  <si>
    <t>{TDS spec}</t>
  </si>
  <si>
    <t>Sulphur content</t>
  </si>
  <si>
    <t>Volumetric expansion</t>
  </si>
  <si>
    <t>STOT - single exposure</t>
  </si>
  <si>
    <t>STOT - repeated exposure</t>
  </si>
  <si>
    <t>Global warming potential (GWP)</t>
  </si>
  <si>
    <t>Biodegradability</t>
  </si>
  <si>
    <t>Yes</t>
  </si>
  <si>
    <t>No</t>
  </si>
  <si>
    <t>Unsure (elaborate)</t>
  </si>
  <si>
    <t>Qualification</t>
  </si>
  <si>
    <t>(Select from list)</t>
  </si>
  <si>
    <t>Remarks (optional)</t>
  </si>
  <si>
    <t>≤ Slight</t>
  </si>
  <si>
    <t>Acidity</t>
  </si>
  <si>
    <t>Fluid types</t>
  </si>
  <si>
    <t>Hydrocarbons</t>
  </si>
  <si>
    <t>Natural Esters</t>
  </si>
  <si>
    <t>Synthetic Esters</t>
  </si>
  <si>
    <t>Fluorocarbons</t>
  </si>
  <si>
    <t>Qualifyers</t>
  </si>
  <si>
    <t>Other (elaborate)</t>
  </si>
  <si>
    <t>Solution Type</t>
  </si>
  <si>
    <t>Rack type</t>
  </si>
  <si>
    <t>Rack</t>
  </si>
  <si>
    <t>Tank</t>
  </si>
  <si>
    <t>Dual phase</t>
  </si>
  <si>
    <t>Source</t>
  </si>
  <si>
    <t>Commodity</t>
  </si>
  <si>
    <t>Proprietary</t>
  </si>
  <si>
    <t>Chassis type</t>
  </si>
  <si>
    <t>Enclosed</t>
  </si>
  <si>
    <t>Immersion optimized</t>
  </si>
  <si>
    <t>Air</t>
  </si>
  <si>
    <t>Max chassis form factor</t>
  </si>
  <si>
    <t>15"U</t>
  </si>
  <si>
    <t>19"U</t>
  </si>
  <si>
    <t>21"U</t>
  </si>
  <si>
    <t>15"OU</t>
  </si>
  <si>
    <t>19"OU</t>
  </si>
  <si>
    <t>21"OU</t>
  </si>
  <si>
    <t>Other (Elaborate)</t>
  </si>
  <si>
    <t>Custom (elaborate)</t>
  </si>
  <si>
    <t>Proprietary (own)</t>
  </si>
  <si>
    <t>Agnostic</t>
  </si>
  <si>
    <t>Specific brand only (elaborate)</t>
  </si>
  <si>
    <t>NOT LISTED</t>
  </si>
  <si>
    <t>Fluid category</t>
  </si>
  <si>
    <t>Minimum requirements</t>
  </si>
  <si>
    <t>Dielectric specifications</t>
  </si>
  <si>
    <t>Feature classification</t>
  </si>
  <si>
    <t>Thermal optimized</t>
  </si>
  <si>
    <t>Thermal Optimized &amp; High safety</t>
  </si>
  <si>
    <t>Thermal Optimized, High safety, High availability</t>
  </si>
  <si>
    <t>None</t>
  </si>
  <si>
    <t>Loss tangent</t>
  </si>
  <si>
    <t>Color</t>
  </si>
  <si>
    <t>NFS Nonfood Compounds Certification</t>
  </si>
  <si>
    <t>NFS certificate</t>
  </si>
  <si>
    <t>{SDS spec}</t>
  </si>
  <si>
    <t>Hazard statements, GHS Classification</t>
  </si>
  <si>
    <t>Vapour pressure</t>
  </si>
  <si>
    <t>Oxidation Stability</t>
  </si>
  <si>
    <t>Ozone Depletion Potential</t>
  </si>
  <si>
    <t>Chapter 4,1, Immersion fluids</t>
  </si>
  <si>
    <t>Chapter 4,2, Minimum dielectric requirements</t>
  </si>
  <si>
    <t>Grey cells may not be adjusted</t>
  </si>
  <si>
    <t>Green cells indicate qualifying values</t>
  </si>
  <si>
    <t>Light orange cells require input</t>
  </si>
  <si>
    <t>Colored cells with bold text have related qualifying values</t>
  </si>
  <si>
    <t>Pink cells indicate disqualifying values and require remarks</t>
  </si>
  <si>
    <t>White cells are optional</t>
  </si>
  <si>
    <t>Immersion Requirements rev 1 checklist</t>
  </si>
  <si>
    <t>Dielectric strength, measured at 1 mm</t>
  </si>
  <si>
    <t>ASTM D 1816</t>
  </si>
  <si>
    <t>Dielectric Constant (Relative permittivity)
Measured at: 5 VAC, 20 GHz and 40 GHz, 20°C and 70°C</t>
  </si>
  <si>
    <t>There is no prescribed method at this point. IEC 60247 may or may not provide a basis for this testing procedure.
NB: The high temperature 70°C test can be lowered in line with evaporation temperatures of 2-phase fluids</t>
  </si>
  <si>
    <t>Data must be associated with tests conducted for Dielectric Constant with the referenced properties</t>
  </si>
  <si>
    <t>Volume resistivity</t>
  </si>
  <si>
    <t>ASTM D1169</t>
  </si>
  <si>
    <t>ASTM D 1903</t>
  </si>
  <si>
    <t>ISO 12185</t>
  </si>
  <si>
    <t>Test temperatures</t>
  </si>
  <si>
    <t>@ 30°C</t>
  </si>
  <si>
    <t>@ 20°C</t>
  </si>
  <si>
    <t>@ 40°C</t>
  </si>
  <si>
    <t>@ 50°C</t>
  </si>
  <si>
    <t>@ 60°C</t>
  </si>
  <si>
    <t>@ 70°C</t>
  </si>
  <si>
    <t>ASTM D1533-20</t>
  </si>
  <si>
    <t>ASTM E 1269</t>
  </si>
  <si>
    <t>ASTM D 7896</t>
  </si>
  <si>
    <t>ASTM D7042</t>
  </si>
  <si>
    <t>ASTM D 97 / ISO 3016</t>
  </si>
  <si>
    <t>20 GHz @ 20°C</t>
  </si>
  <si>
    <t>40 GHz @ 20°C</t>
  </si>
  <si>
    <t>ASTM D2887</t>
  </si>
  <si>
    <t>ASTM D 93 / ISO 2719</t>
  </si>
  <si>
    <t>ASTM D 92  / 2592</t>
  </si>
  <si>
    <t>DIN 51794/ ASTM E659</t>
  </si>
  <si>
    <t>ISO 14596</t>
  </si>
  <si>
    <t>IEC 62021-2 / IEC 62021-1</t>
  </si>
  <si>
    <t>{SELECT FLUID CATEGORY FIRST (C9)}</t>
  </si>
  <si>
    <t>ASTM D 156 / ISO 2211</t>
  </si>
  <si>
    <t>GHS Classification</t>
  </si>
  <si>
    <t>OECD 301</t>
  </si>
  <si>
    <t>Readily</t>
  </si>
  <si>
    <t>Inherently</t>
  </si>
  <si>
    <t>Persistent</t>
  </si>
  <si>
    <t>IEC 61125</t>
  </si>
  <si>
    <t>IPCC 2007</t>
  </si>
  <si>
    <t>ASTM E2071</t>
  </si>
  <si>
    <t>ASTM D1331</t>
  </si>
  <si>
    <t>TBD</t>
  </si>
  <si>
    <t>2-phase only</t>
  </si>
  <si>
    <t>Volume Resistivity</t>
  </si>
  <si>
    <t>Volume Resistivity over lifetime)</t>
  </si>
  <si>
    <t>(Optional remarks here)</t>
  </si>
  <si>
    <t>Immersion Requirements rev2 checklist</t>
  </si>
  <si>
    <t>Immersion Requirements rev2 1st amended checklist</t>
  </si>
  <si>
    <t>Rack Capacity</t>
  </si>
  <si>
    <t>RU</t>
  </si>
  <si>
    <t>OU</t>
  </si>
  <si>
    <t>ASTM D2879 (non-volatile fluids) 
ASTM D6378 (boiling point &lt;85°C)</t>
  </si>
  <si>
    <t>Maximum moisture content for dielectric breakdown (100% Water saturation point)</t>
  </si>
  <si>
    <t>Density</t>
  </si>
  <si>
    <t>Specific heat</t>
  </si>
  <si>
    <t>Thermal conductivity</t>
  </si>
  <si>
    <t>Kinematic viscosity</t>
  </si>
  <si>
    <t>Dielectric Constant</t>
  </si>
  <si>
    <t>Loss Tangent</t>
  </si>
  <si>
    <t>Test temperatures+@</t>
  </si>
  <si>
    <t>Method</t>
  </si>
  <si>
    <t>Value</t>
  </si>
  <si>
    <t>Latent heat of vaporization</t>
  </si>
  <si>
    <t>Surface tension</t>
  </si>
  <si>
    <t>Vapor density</t>
  </si>
  <si>
    <t>Figure of merit</t>
  </si>
  <si>
    <t>FOM1</t>
  </si>
  <si>
    <t>FOM2</t>
  </si>
  <si>
    <t>FOM3</t>
  </si>
  <si>
    <t>Additional fluorocarbon properties</t>
  </si>
  <si>
    <t>Fluid physical properties</t>
  </si>
  <si>
    <t>Dielectric Constant and Loss tangent (@5VAC)</t>
  </si>
  <si>
    <t>FOM4</t>
  </si>
  <si>
    <t>N/A</t>
  </si>
  <si>
    <t>2-phase/fluorocarbons specific specifications</t>
  </si>
  <si>
    <t>Characteristics</t>
  </si>
  <si>
    <t>Fluid family</t>
  </si>
  <si>
    <t>OCP Requirements</t>
  </si>
  <si>
    <t>Boiling point temperature</t>
  </si>
  <si>
    <t>10% of mass has boiled (If below fire point OR decomposition point)</t>
  </si>
  <si>
    <t>https://www.opencompute.org/wiki/Cooling_Environments/Immersion</t>
  </si>
  <si>
    <r>
      <t xml:space="preserve">Vapour pressure
</t>
    </r>
    <r>
      <rPr>
        <sz val="8"/>
        <color rgb="FF000000"/>
        <rFont val="Calibri"/>
        <family val="2"/>
      </rPr>
      <t xml:space="preserve">ASTM D2879/ASTM D6378 </t>
    </r>
  </si>
  <si>
    <r>
      <t xml:space="preserve">Kinematic viscosity
</t>
    </r>
    <r>
      <rPr>
        <sz val="8"/>
        <color rgb="FF000000"/>
        <rFont val="Calibri"/>
        <family val="2"/>
      </rPr>
      <t>ASTM D7042</t>
    </r>
  </si>
  <si>
    <r>
      <t xml:space="preserve">Thermal conductivity
</t>
    </r>
    <r>
      <rPr>
        <sz val="8"/>
        <color rgb="FF000000"/>
        <rFont val="Calibri"/>
        <family val="2"/>
      </rPr>
      <t>ASTM D 7896</t>
    </r>
  </si>
  <si>
    <r>
      <t xml:space="preserve">Specific heat
</t>
    </r>
    <r>
      <rPr>
        <sz val="8"/>
        <color rgb="FF000000"/>
        <rFont val="Calibri"/>
        <family val="2"/>
      </rPr>
      <t>ASTM E 1269</t>
    </r>
  </si>
  <si>
    <r>
      <t xml:space="preserve">Density
</t>
    </r>
    <r>
      <rPr>
        <sz val="8"/>
        <color rgb="FF000000"/>
        <rFont val="Calibri"/>
        <family val="2"/>
      </rPr>
      <t>ISO 12185</t>
    </r>
  </si>
  <si>
    <r>
      <t xml:space="preserve">Max moisture
</t>
    </r>
    <r>
      <rPr>
        <sz val="8"/>
        <color rgb="FF000000"/>
        <rFont val="Calibri"/>
        <family val="2"/>
      </rPr>
      <t>ASTM D1533-20</t>
    </r>
  </si>
  <si>
    <r>
      <t xml:space="preserve">Dynamic viscosity (cp)
</t>
    </r>
    <r>
      <rPr>
        <sz val="8"/>
        <color rgb="FF000000"/>
        <rFont val="Calibri"/>
        <family val="2"/>
      </rPr>
      <t>(calculated)</t>
    </r>
  </si>
  <si>
    <r>
      <t xml:space="preserve">Dynamic viscosity N-s/m2
</t>
    </r>
    <r>
      <rPr>
        <sz val="8"/>
        <color rgb="FF000000"/>
        <rFont val="Calibri"/>
        <family val="2"/>
      </rPr>
      <t>(calculated)</t>
    </r>
  </si>
  <si>
    <t>Flash point (Cleveland Closed Cup)</t>
  </si>
  <si>
    <t>2.1</t>
  </si>
  <si>
    <t>2.0</t>
  </si>
  <si>
    <t>1.0</t>
  </si>
  <si>
    <t>Do not edit this sheet. It is generated and populated from the Specification sheet.</t>
  </si>
  <si>
    <t>Instructions:</t>
  </si>
  <si>
    <t>Enter all required disclosure values on the Specification tab:</t>
  </si>
  <si>
    <t>Verify the generated data on the Specsheet tab:</t>
  </si>
  <si>
    <t>Step 1</t>
  </si>
  <si>
    <t>Step 2</t>
  </si>
  <si>
    <t>Step 3</t>
  </si>
  <si>
    <t>Rolf.Brink@ocproject.net and John.Bean@ocproject.net</t>
  </si>
  <si>
    <t>Links</t>
  </si>
  <si>
    <t>START HERE: (Select from list)</t>
  </si>
  <si>
    <t>For more information, please check the OCP Immersion wiki:</t>
  </si>
  <si>
    <t>Send this specsheet as attachment to (one of the) the Immersion Project Leads:</t>
  </si>
  <si>
    <t>Fluids-only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</si>
</sst>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d\ mmm\ yyyy"/>
    <numFmt numFmtId="165" formatCode="&quot;@&quot;\ 0\ &quot;°C&quot;"/>
    <numFmt numFmtId="166" formatCode="0\ &quot;kV/mm&quot;"/>
    <numFmt numFmtId="167" formatCode="0\ &quot;°C&quot;"/>
    <numFmt numFmtId="168" formatCode="&quot;&lt; &quot;0.00&quot;ppm&quot;"/>
    <numFmt numFmtId="169" formatCode="&quot;&gt; &quot;0.0&quot;°C&quot;"/>
    <numFmt numFmtId="170" formatCode="&quot;&gt; &quot;0.0\ &quot;GΩm&quot;"/>
    <numFmt numFmtId="171" formatCode="&quot;&gt; &quot;0\ &quot;kV/mm&quot;"/>
    <numFmt numFmtId="172" formatCode="0.00\ &quot;GΩm&quot;"/>
    <numFmt numFmtId="173" formatCode="0.0\ &quot;ppm&quot;"/>
    <numFmt numFmtId="174" formatCode="0.00\ &quot;kg/m3&quot;"/>
    <numFmt numFmtId="175" formatCode="0.000\ &quot;mg KOH/g&quot;"/>
    <numFmt numFmtId="176" formatCode="&quot;≤&quot;0.000\ &quot;mg KOH/g&quot;"/>
    <numFmt numFmtId="177" formatCode="0.0000"/>
    <numFmt numFmtId="178" formatCode="0\ &quot;ppm&quot;"/>
    <numFmt numFmtId="179" formatCode="0.000\ &quot;W/m*K&quot;"/>
    <numFmt numFmtId="180" formatCode="0.0\ &quot;mm2/s (cSt)&quot;"/>
    <numFmt numFmtId="181" formatCode="0\ &quot;mbar&quot;"/>
    <numFmt numFmtId="182" formatCode="0.0\ &quot;°C&quot;"/>
    <numFmt numFmtId="183" formatCode="0.0"/>
    <numFmt numFmtId="184" formatCode="0\ &quot;J/kg&quot;"/>
    <numFmt numFmtId="185" formatCode="0.00\ &quot;N/m&quot;"/>
    <numFmt numFmtId="186" formatCode="0.000\ &quot;kg/m3&quot;"/>
    <numFmt numFmtId="187" formatCode="0\ &quot;J/kg*K&quot;"/>
    <numFmt numFmtId="188" formatCode="0.00000\ &quot;/°K&quot;"/>
    <numFmt numFmtId="189" formatCode="0.000000"/>
    <numFmt numFmtId="190" formatCode="0.00000"/>
    <numFmt numFmtId="191" formatCode="&quot;@&quot;\ 0.0\ &quot;°C&quot;"/>
  </numFmts>
  <fonts count="21" x14ac:knownFonts="1">
    <font>
      <sz val="11"/>
      <color rgb="FF000000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u/>
      <sz val="14"/>
      <color rgb="FF1155CC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9C5700"/>
      <name val="Calibri"/>
      <family val="2"/>
    </font>
    <font>
      <sz val="11"/>
      <name val="Calibri"/>
      <family val="2"/>
    </font>
    <font>
      <b/>
      <sz val="11"/>
      <color rgb="FF9C570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name val="Calibri"/>
      <family val="2"/>
    </font>
    <font>
      <b/>
      <sz val="14"/>
      <color rgb="FF9C5700"/>
      <name val="Calibri"/>
      <family val="2"/>
    </font>
    <font>
      <i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rgb="FF000000"/>
      <name val="Calibri"/>
      <family val="2"/>
    </font>
    <font>
      <b/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2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rgb="FFD9D9D9"/>
      </patternFill>
    </fill>
    <fill>
      <patternFill patternType="solid">
        <fgColor rgb="FF92D05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dashDotDot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6" fillId="0" borderId="3"/>
  </cellStyleXfs>
  <cellXfs count="20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3" xfId="0" applyBorder="1"/>
    <xf numFmtId="0" fontId="7" fillId="0" borderId="12" xfId="0" applyFont="1" applyBorder="1" applyAlignment="1">
      <alignment wrapText="1"/>
    </xf>
    <xf numFmtId="0" fontId="7" fillId="0" borderId="11" xfId="0" applyFont="1" applyBorder="1"/>
    <xf numFmtId="0" fontId="7" fillId="0" borderId="12" xfId="0" applyFont="1" applyBorder="1"/>
    <xf numFmtId="0" fontId="7" fillId="0" borderId="5" xfId="0" applyFont="1" applyBorder="1"/>
    <xf numFmtId="0" fontId="3" fillId="2" borderId="7" xfId="0" applyFont="1" applyFill="1" applyBorder="1"/>
    <xf numFmtId="0" fontId="8" fillId="0" borderId="0" xfId="0" applyFont="1" applyAlignment="1">
      <alignment horizontal="left"/>
    </xf>
    <xf numFmtId="0" fontId="6" fillId="0" borderId="34" xfId="0" applyFont="1" applyBorder="1"/>
    <xf numFmtId="0" fontId="6" fillId="0" borderId="35" xfId="0" applyFont="1" applyBorder="1"/>
    <xf numFmtId="0" fontId="6" fillId="0" borderId="3" xfId="0" applyFont="1" applyBorder="1"/>
    <xf numFmtId="0" fontId="6" fillId="0" borderId="10" xfId="0" applyFont="1" applyBorder="1"/>
    <xf numFmtId="0" fontId="6" fillId="0" borderId="8" xfId="0" applyFont="1" applyBorder="1"/>
    <xf numFmtId="0" fontId="7" fillId="0" borderId="43" xfId="0" applyFont="1" applyBorder="1"/>
    <xf numFmtId="0" fontId="7" fillId="0" borderId="44" xfId="0" applyFont="1" applyBorder="1"/>
    <xf numFmtId="0" fontId="6" fillId="0" borderId="45" xfId="0" applyFont="1" applyBorder="1"/>
    <xf numFmtId="0" fontId="6" fillId="0" borderId="47" xfId="0" applyFont="1" applyBorder="1"/>
    <xf numFmtId="0" fontId="8" fillId="0" borderId="3" xfId="0" applyFont="1" applyBorder="1" applyAlignment="1">
      <alignment horizontal="left"/>
    </xf>
    <xf numFmtId="49" fontId="0" fillId="0" borderId="0" xfId="0" applyNumberFormat="1"/>
    <xf numFmtId="49" fontId="0" fillId="0" borderId="25" xfId="0" applyNumberFormat="1" applyBorder="1" applyProtection="1">
      <protection locked="0"/>
    </xf>
    <xf numFmtId="49" fontId="0" fillId="0" borderId="26" xfId="0" applyNumberFormat="1" applyBorder="1" applyProtection="1">
      <protection locked="0"/>
    </xf>
    <xf numFmtId="49" fontId="3" fillId="0" borderId="3" xfId="0" applyNumberFormat="1" applyFont="1" applyBorder="1"/>
    <xf numFmtId="49" fontId="0" fillId="0" borderId="51" xfId="0" applyNumberFormat="1" applyBorder="1" applyProtection="1">
      <protection locked="0"/>
    </xf>
    <xf numFmtId="0" fontId="3" fillId="2" borderId="15" xfId="0" applyFont="1" applyFill="1" applyBorder="1"/>
    <xf numFmtId="0" fontId="3" fillId="2" borderId="16" xfId="0" applyFont="1" applyFill="1" applyBorder="1"/>
    <xf numFmtId="0" fontId="12" fillId="2" borderId="15" xfId="0" applyFont="1" applyFill="1" applyBorder="1"/>
    <xf numFmtId="171" fontId="9" fillId="3" borderId="37" xfId="0" applyNumberFormat="1" applyFont="1" applyFill="1" applyBorder="1" applyAlignment="1">
      <alignment horizontal="left"/>
    </xf>
    <xf numFmtId="170" fontId="9" fillId="3" borderId="37" xfId="0" quotePrefix="1" applyNumberFormat="1" applyFont="1" applyFill="1" applyBorder="1" applyAlignment="1">
      <alignment horizontal="left"/>
    </xf>
    <xf numFmtId="169" fontId="3" fillId="3" borderId="37" xfId="0" applyNumberFormat="1" applyFont="1" applyFill="1" applyBorder="1" applyAlignment="1">
      <alignment horizontal="left"/>
    </xf>
    <xf numFmtId="168" fontId="3" fillId="3" borderId="37" xfId="0" applyNumberFormat="1" applyFont="1" applyFill="1" applyBorder="1" applyAlignment="1">
      <alignment horizontal="left"/>
    </xf>
    <xf numFmtId="0" fontId="12" fillId="2" borderId="7" xfId="0" applyFont="1" applyFill="1" applyBorder="1"/>
    <xf numFmtId="0" fontId="9" fillId="3" borderId="20" xfId="0" applyFont="1" applyFill="1" applyBorder="1"/>
    <xf numFmtId="166" fontId="10" fillId="0" borderId="21" xfId="0" applyNumberFormat="1" applyFont="1" applyBorder="1" applyAlignment="1" applyProtection="1">
      <alignment horizontal="left"/>
      <protection locked="0"/>
    </xf>
    <xf numFmtId="172" fontId="10" fillId="0" borderId="40" xfId="0" applyNumberFormat="1" applyFont="1" applyBorder="1" applyAlignment="1" applyProtection="1">
      <alignment horizontal="left"/>
      <protection locked="0"/>
    </xf>
    <xf numFmtId="167" fontId="8" fillId="0" borderId="22" xfId="0" applyNumberFormat="1" applyFont="1" applyBorder="1" applyAlignment="1" applyProtection="1">
      <alignment horizontal="left"/>
      <protection locked="0"/>
    </xf>
    <xf numFmtId="175" fontId="10" fillId="0" borderId="22" xfId="0" applyNumberFormat="1" applyFont="1" applyBorder="1" applyAlignment="1" applyProtection="1">
      <alignment horizontal="left"/>
      <protection locked="0"/>
    </xf>
    <xf numFmtId="0" fontId="0" fillId="0" borderId="53" xfId="0" applyBorder="1" applyAlignment="1" applyProtection="1">
      <alignment horizontal="left" vertical="top"/>
      <protection locked="0"/>
    </xf>
    <xf numFmtId="0" fontId="10" fillId="0" borderId="22" xfId="0" applyFont="1" applyBorder="1" applyAlignment="1" applyProtection="1">
      <alignment horizontal="left"/>
      <protection locked="0"/>
    </xf>
    <xf numFmtId="0" fontId="8" fillId="0" borderId="22" xfId="0" applyFont="1" applyBorder="1" applyAlignment="1" applyProtection="1">
      <alignment horizontal="left"/>
      <protection locked="0"/>
    </xf>
    <xf numFmtId="0" fontId="0" fillId="0" borderId="52" xfId="0" applyBorder="1" applyAlignment="1" applyProtection="1">
      <alignment horizontal="left" vertical="top"/>
      <protection locked="0"/>
    </xf>
    <xf numFmtId="0" fontId="6" fillId="0" borderId="46" xfId="0" applyFont="1" applyBorder="1" applyAlignment="1">
      <alignment horizontal="left"/>
    </xf>
    <xf numFmtId="0" fontId="6" fillId="0" borderId="48" xfId="0" applyFont="1" applyBorder="1" applyAlignment="1">
      <alignment horizontal="left"/>
    </xf>
    <xf numFmtId="49" fontId="7" fillId="0" borderId="13" xfId="0" applyNumberFormat="1" applyFont="1" applyBorder="1"/>
    <xf numFmtId="0" fontId="1" fillId="0" borderId="3" xfId="0" applyFont="1" applyBorder="1"/>
    <xf numFmtId="175" fontId="6" fillId="0" borderId="46" xfId="0" applyNumberFormat="1" applyFont="1" applyBorder="1" applyAlignment="1">
      <alignment horizontal="left"/>
    </xf>
    <xf numFmtId="0" fontId="6" fillId="0" borderId="61" xfId="0" applyFont="1" applyBorder="1"/>
    <xf numFmtId="0" fontId="7" fillId="0" borderId="62" xfId="0" applyFont="1" applyBorder="1"/>
    <xf numFmtId="0" fontId="6" fillId="0" borderId="34" xfId="0" quotePrefix="1" applyFont="1" applyBorder="1"/>
    <xf numFmtId="0" fontId="6" fillId="0" borderId="35" xfId="0" quotePrefix="1" applyFont="1" applyBorder="1"/>
    <xf numFmtId="2" fontId="8" fillId="0" borderId="40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12" fillId="2" borderId="7" xfId="0" applyFont="1" applyFill="1" applyBorder="1" applyAlignment="1">
      <alignment wrapText="1"/>
    </xf>
    <xf numFmtId="0" fontId="9" fillId="8" borderId="4" xfId="0" applyFont="1" applyFill="1" applyBorder="1" applyAlignment="1">
      <alignment wrapText="1"/>
    </xf>
    <xf numFmtId="0" fontId="11" fillId="3" borderId="49" xfId="0" applyFont="1" applyFill="1" applyBorder="1" applyAlignment="1">
      <alignment wrapText="1"/>
    </xf>
    <xf numFmtId="0" fontId="12" fillId="2" borderId="15" xfId="0" applyFont="1" applyFill="1" applyBorder="1" applyAlignment="1">
      <alignment wrapText="1"/>
    </xf>
    <xf numFmtId="0" fontId="0" fillId="0" borderId="3" xfId="0" applyBorder="1" applyAlignment="1">
      <alignment wrapText="1"/>
    </xf>
    <xf numFmtId="177" fontId="8" fillId="0" borderId="40" xfId="0" applyNumberFormat="1" applyFont="1" applyBorder="1" applyAlignment="1" applyProtection="1">
      <alignment horizontal="left"/>
      <protection locked="0"/>
    </xf>
    <xf numFmtId="178" fontId="8" fillId="0" borderId="22" xfId="0" applyNumberFormat="1" applyFont="1" applyBorder="1" applyAlignment="1" applyProtection="1">
      <alignment horizontal="left"/>
      <protection locked="0"/>
    </xf>
    <xf numFmtId="174" fontId="8" fillId="0" borderId="38" xfId="0" applyNumberFormat="1" applyFont="1" applyBorder="1" applyAlignment="1" applyProtection="1">
      <alignment horizontal="left"/>
      <protection locked="0"/>
    </xf>
    <xf numFmtId="179" fontId="8" fillId="0" borderId="38" xfId="0" applyNumberFormat="1" applyFont="1" applyBorder="1" applyAlignment="1" applyProtection="1">
      <alignment horizontal="left"/>
      <protection locked="0"/>
    </xf>
    <xf numFmtId="180" fontId="8" fillId="0" borderId="40" xfId="0" applyNumberFormat="1" applyFont="1" applyBorder="1" applyAlignment="1" applyProtection="1">
      <alignment horizontal="left"/>
      <protection locked="0"/>
    </xf>
    <xf numFmtId="181" fontId="8" fillId="0" borderId="40" xfId="0" applyNumberFormat="1" applyFont="1" applyBorder="1" applyAlignment="1" applyProtection="1">
      <alignment horizontal="left"/>
      <protection locked="0"/>
    </xf>
    <xf numFmtId="0" fontId="9" fillId="3" borderId="64" xfId="0" applyFont="1" applyFill="1" applyBorder="1" applyAlignment="1">
      <alignment wrapText="1"/>
    </xf>
    <xf numFmtId="0" fontId="9" fillId="3" borderId="18" xfId="0" applyFont="1" applyFill="1" applyBorder="1" applyAlignment="1">
      <alignment wrapText="1"/>
    </xf>
    <xf numFmtId="0" fontId="9" fillId="3" borderId="18" xfId="0" applyFont="1" applyFill="1" applyBorder="1"/>
    <xf numFmtId="0" fontId="11" fillId="3" borderId="18" xfId="0" applyFont="1" applyFill="1" applyBorder="1" applyAlignment="1">
      <alignment wrapText="1"/>
    </xf>
    <xf numFmtId="167" fontId="10" fillId="0" borderId="22" xfId="0" applyNumberFormat="1" applyFont="1" applyBorder="1" applyAlignment="1" applyProtection="1">
      <alignment horizontal="left"/>
      <protection locked="0"/>
    </xf>
    <xf numFmtId="173" fontId="10" fillId="0" borderId="22" xfId="0" applyNumberFormat="1" applyFont="1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9" fillId="3" borderId="20" xfId="0" applyFont="1" applyFill="1" applyBorder="1" applyAlignment="1">
      <alignment wrapText="1"/>
    </xf>
    <xf numFmtId="0" fontId="6" fillId="5" borderId="59" xfId="0" applyFont="1" applyFill="1" applyBorder="1" applyAlignment="1">
      <alignment wrapText="1"/>
    </xf>
    <xf numFmtId="0" fontId="7" fillId="5" borderId="59" xfId="0" applyFont="1" applyFill="1" applyBorder="1" applyAlignment="1">
      <alignment wrapText="1"/>
    </xf>
    <xf numFmtId="0" fontId="6" fillId="6" borderId="59" xfId="0" applyFont="1" applyFill="1" applyBorder="1" applyAlignment="1">
      <alignment wrapText="1"/>
    </xf>
    <xf numFmtId="0" fontId="6" fillId="7" borderId="59" xfId="0" applyFont="1" applyFill="1" applyBorder="1" applyAlignment="1">
      <alignment wrapText="1"/>
    </xf>
    <xf numFmtId="0" fontId="6" fillId="4" borderId="59" xfId="0" applyFont="1" applyFill="1" applyBorder="1" applyAlignment="1">
      <alignment wrapText="1"/>
    </xf>
    <xf numFmtId="0" fontId="9" fillId="3" borderId="59" xfId="0" applyFont="1" applyFill="1" applyBorder="1" applyAlignment="1">
      <alignment wrapText="1"/>
    </xf>
    <xf numFmtId="0" fontId="7" fillId="0" borderId="11" xfId="0" applyFont="1" applyBorder="1" applyAlignment="1">
      <alignment wrapText="1"/>
    </xf>
    <xf numFmtId="0" fontId="12" fillId="2" borderId="6" xfId="0" applyFont="1" applyFill="1" applyBorder="1" applyAlignment="1">
      <alignment wrapText="1"/>
    </xf>
    <xf numFmtId="0" fontId="9" fillId="3" borderId="39" xfId="0" applyFont="1" applyFill="1" applyBorder="1" applyAlignment="1">
      <alignment wrapText="1"/>
    </xf>
    <xf numFmtId="0" fontId="9" fillId="3" borderId="57" xfId="0" applyFont="1" applyFill="1" applyBorder="1" applyAlignment="1">
      <alignment wrapText="1"/>
    </xf>
    <xf numFmtId="0" fontId="9" fillId="3" borderId="17" xfId="0" applyFont="1" applyFill="1" applyBorder="1" applyAlignment="1">
      <alignment wrapText="1"/>
    </xf>
    <xf numFmtId="0" fontId="11" fillId="3" borderId="17" xfId="0" applyFont="1" applyFill="1" applyBorder="1" applyAlignment="1">
      <alignment wrapText="1"/>
    </xf>
    <xf numFmtId="0" fontId="9" fillId="3" borderId="19" xfId="0" applyFont="1" applyFill="1" applyBorder="1" applyAlignment="1">
      <alignment wrapText="1"/>
    </xf>
    <xf numFmtId="0" fontId="12" fillId="2" borderId="14" xfId="0" applyFont="1" applyFill="1" applyBorder="1" applyAlignment="1">
      <alignment wrapText="1"/>
    </xf>
    <xf numFmtId="0" fontId="11" fillId="3" borderId="39" xfId="0" applyFont="1" applyFill="1" applyBorder="1" applyAlignment="1">
      <alignment wrapText="1"/>
    </xf>
    <xf numFmtId="0" fontId="11" fillId="3" borderId="41" xfId="0" applyFont="1" applyFill="1" applyBorder="1" applyAlignment="1">
      <alignment wrapText="1"/>
    </xf>
    <xf numFmtId="182" fontId="8" fillId="0" borderId="22" xfId="0" applyNumberFormat="1" applyFont="1" applyBorder="1" applyAlignment="1" applyProtection="1">
      <alignment horizontal="left"/>
      <protection locked="0"/>
    </xf>
    <xf numFmtId="0" fontId="11" fillId="3" borderId="56" xfId="0" applyFont="1" applyFill="1" applyBorder="1" applyAlignment="1">
      <alignment wrapText="1"/>
    </xf>
    <xf numFmtId="0" fontId="11" fillId="3" borderId="31" xfId="0" applyFont="1" applyFill="1" applyBorder="1" applyAlignment="1">
      <alignment wrapText="1"/>
    </xf>
    <xf numFmtId="0" fontId="9" fillId="3" borderId="54" xfId="0" applyFont="1" applyFill="1" applyBorder="1" applyAlignment="1">
      <alignment horizontal="left"/>
    </xf>
    <xf numFmtId="0" fontId="9" fillId="3" borderId="30" xfId="0" applyFont="1" applyFill="1" applyBorder="1" applyAlignment="1">
      <alignment horizontal="left"/>
    </xf>
    <xf numFmtId="0" fontId="9" fillId="3" borderId="55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64" xfId="0" applyFont="1" applyFill="1" applyBorder="1" applyAlignment="1">
      <alignment horizontal="left"/>
    </xf>
    <xf numFmtId="0" fontId="9" fillId="3" borderId="18" xfId="0" applyFont="1" applyFill="1" applyBorder="1" applyAlignment="1">
      <alignment horizontal="left"/>
    </xf>
    <xf numFmtId="0" fontId="13" fillId="3" borderId="11" xfId="0" applyFont="1" applyFill="1" applyBorder="1" applyAlignment="1">
      <alignment wrapText="1"/>
    </xf>
    <xf numFmtId="0" fontId="14" fillId="0" borderId="65" xfId="0" applyFont="1" applyBorder="1" applyAlignment="1" applyProtection="1">
      <alignment horizontal="left"/>
      <protection locked="0"/>
    </xf>
    <xf numFmtId="169" fontId="11" fillId="3" borderId="18" xfId="0" applyNumberFormat="1" applyFont="1" applyFill="1" applyBorder="1" applyAlignment="1">
      <alignment horizontal="left"/>
    </xf>
    <xf numFmtId="168" fontId="11" fillId="3" borderId="18" xfId="0" applyNumberFormat="1" applyFont="1" applyFill="1" applyBorder="1" applyAlignment="1">
      <alignment horizontal="left"/>
    </xf>
    <xf numFmtId="175" fontId="11" fillId="3" borderId="18" xfId="0" applyNumberFormat="1" applyFont="1" applyFill="1" applyBorder="1" applyAlignment="1">
      <alignment horizontal="left"/>
    </xf>
    <xf numFmtId="0" fontId="11" fillId="3" borderId="18" xfId="0" applyFont="1" applyFill="1" applyBorder="1" applyAlignment="1">
      <alignment horizontal="left"/>
    </xf>
    <xf numFmtId="171" fontId="11" fillId="3" borderId="49" xfId="0" applyNumberFormat="1" applyFont="1" applyFill="1" applyBorder="1" applyAlignment="1">
      <alignment horizontal="left"/>
    </xf>
    <xf numFmtId="170" fontId="11" fillId="3" borderId="31" xfId="0" applyNumberFormat="1" applyFont="1" applyFill="1" applyBorder="1" applyAlignment="1">
      <alignment horizontal="left"/>
    </xf>
    <xf numFmtId="183" fontId="8" fillId="0" borderId="22" xfId="0" applyNumberFormat="1" applyFont="1" applyBorder="1" applyAlignment="1" applyProtection="1">
      <alignment horizontal="left"/>
      <protection locked="0"/>
    </xf>
    <xf numFmtId="184" fontId="8" fillId="0" borderId="22" xfId="0" applyNumberFormat="1" applyFont="1" applyBorder="1" applyAlignment="1" applyProtection="1">
      <alignment horizontal="left"/>
      <protection locked="0"/>
    </xf>
    <xf numFmtId="185" fontId="8" fillId="0" borderId="22" xfId="0" applyNumberFormat="1" applyFont="1" applyBorder="1" applyAlignment="1" applyProtection="1">
      <alignment horizontal="left"/>
      <protection locked="0"/>
    </xf>
    <xf numFmtId="186" fontId="8" fillId="0" borderId="23" xfId="0" applyNumberFormat="1" applyFont="1" applyBorder="1" applyAlignment="1" applyProtection="1">
      <alignment horizontal="left"/>
      <protection locked="0"/>
    </xf>
    <xf numFmtId="176" fontId="9" fillId="3" borderId="67" xfId="0" applyNumberFormat="1" applyFont="1" applyFill="1" applyBorder="1" applyAlignment="1">
      <alignment horizontal="left"/>
    </xf>
    <xf numFmtId="0" fontId="9" fillId="3" borderId="68" xfId="0" applyFont="1" applyFill="1" applyBorder="1" applyAlignment="1">
      <alignment horizontal="left"/>
    </xf>
    <xf numFmtId="0" fontId="0" fillId="0" borderId="66" xfId="0" applyBorder="1" applyAlignment="1" applyProtection="1">
      <alignment horizontal="left" vertical="top"/>
      <protection locked="0"/>
    </xf>
    <xf numFmtId="0" fontId="14" fillId="0" borderId="9" xfId="0" applyFont="1" applyBorder="1" applyAlignment="1" applyProtection="1">
      <alignment horizontal="left"/>
      <protection locked="0"/>
    </xf>
    <xf numFmtId="0" fontId="15" fillId="0" borderId="13" xfId="0" applyFont="1" applyBorder="1"/>
    <xf numFmtId="0" fontId="11" fillId="3" borderId="36" xfId="0" applyFont="1" applyFill="1" applyBorder="1" applyAlignment="1">
      <alignment wrapText="1"/>
    </xf>
    <xf numFmtId="0" fontId="11" fillId="3" borderId="57" xfId="0" applyFont="1" applyFill="1" applyBorder="1" applyAlignment="1">
      <alignment wrapText="1"/>
    </xf>
    <xf numFmtId="0" fontId="11" fillId="3" borderId="61" xfId="0" applyFont="1" applyFill="1" applyBorder="1" applyAlignment="1">
      <alignment wrapText="1"/>
    </xf>
    <xf numFmtId="0" fontId="11" fillId="3" borderId="70" xfId="0" applyFont="1" applyFill="1" applyBorder="1" applyAlignment="1">
      <alignment wrapText="1"/>
    </xf>
    <xf numFmtId="0" fontId="11" fillId="3" borderId="69" xfId="0" applyFont="1" applyFill="1" applyBorder="1" applyAlignment="1">
      <alignment wrapText="1"/>
    </xf>
    <xf numFmtId="0" fontId="11" fillId="3" borderId="58" xfId="0" applyFont="1" applyFill="1" applyBorder="1" applyAlignment="1">
      <alignment wrapText="1"/>
    </xf>
    <xf numFmtId="0" fontId="6" fillId="0" borderId="0" xfId="0" applyFont="1"/>
    <xf numFmtId="187" fontId="8" fillId="0" borderId="38" xfId="0" applyNumberFormat="1" applyFont="1" applyBorder="1" applyAlignment="1" applyProtection="1">
      <alignment horizontal="left"/>
      <protection locked="0"/>
    </xf>
    <xf numFmtId="188" fontId="8" fillId="0" borderId="22" xfId="0" applyNumberFormat="1" applyFont="1" applyBorder="1" applyAlignment="1" applyProtection="1">
      <alignment horizontal="left"/>
      <protection locked="0"/>
    </xf>
    <xf numFmtId="0" fontId="6" fillId="0" borderId="62" xfId="0" applyFont="1" applyBorder="1"/>
    <xf numFmtId="0" fontId="6" fillId="0" borderId="3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165" fontId="9" fillId="3" borderId="54" xfId="0" applyNumberFormat="1" applyFont="1" applyFill="1" applyBorder="1" applyAlignment="1">
      <alignment horizontal="left"/>
    </xf>
    <xf numFmtId="165" fontId="9" fillId="3" borderId="3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166" fontId="9" fillId="0" borderId="3" xfId="0" applyNumberFormat="1" applyFont="1" applyBorder="1" applyAlignment="1">
      <alignment horizontal="center"/>
    </xf>
    <xf numFmtId="172" fontId="9" fillId="0" borderId="3" xfId="0" applyNumberFormat="1" applyFont="1" applyBorder="1" applyAlignment="1">
      <alignment horizontal="center"/>
    </xf>
    <xf numFmtId="188" fontId="9" fillId="0" borderId="3" xfId="0" applyNumberFormat="1" applyFont="1" applyBorder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173" fontId="9" fillId="0" borderId="3" xfId="0" applyNumberFormat="1" applyFont="1" applyBorder="1" applyAlignment="1">
      <alignment horizontal="center"/>
    </xf>
    <xf numFmtId="175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/>
    </xf>
    <xf numFmtId="183" fontId="9" fillId="0" borderId="3" xfId="0" applyNumberFormat="1" applyFont="1" applyBorder="1" applyAlignment="1">
      <alignment horizontal="center"/>
    </xf>
    <xf numFmtId="0" fontId="18" fillId="0" borderId="3" xfId="0" applyFont="1" applyBorder="1"/>
    <xf numFmtId="182" fontId="9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84" fontId="9" fillId="0" borderId="3" xfId="0" applyNumberFormat="1" applyFont="1" applyBorder="1" applyAlignment="1">
      <alignment horizontal="center"/>
    </xf>
    <xf numFmtId="185" fontId="9" fillId="0" borderId="3" xfId="0" applyNumberFormat="1" applyFont="1" applyBorder="1" applyAlignment="1">
      <alignment horizontal="center"/>
    </xf>
    <xf numFmtId="186" fontId="9" fillId="0" borderId="3" xfId="0" applyNumberFormat="1" applyFont="1" applyBorder="1" applyAlignment="1">
      <alignment horizontal="center"/>
    </xf>
    <xf numFmtId="167" fontId="0" fillId="0" borderId="0" xfId="0" applyNumberFormat="1" applyAlignment="1">
      <alignment horizontal="left"/>
    </xf>
    <xf numFmtId="0" fontId="7" fillId="0" borderId="0" xfId="0" applyFont="1"/>
    <xf numFmtId="167" fontId="18" fillId="0" borderId="0" xfId="0" applyNumberFormat="1" applyFont="1" applyAlignment="1">
      <alignment horizontal="left"/>
    </xf>
    <xf numFmtId="183" fontId="0" fillId="0" borderId="0" xfId="0" applyNumberFormat="1"/>
    <xf numFmtId="190" fontId="16" fillId="0" borderId="3" xfId="2" applyNumberFormat="1"/>
    <xf numFmtId="191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9" fillId="0" borderId="3" xfId="0" applyNumberFormat="1" applyFont="1" applyBorder="1" applyAlignment="1">
      <alignment horizontal="center"/>
    </xf>
    <xf numFmtId="174" fontId="9" fillId="0" borderId="3" xfId="0" applyNumberFormat="1" applyFont="1" applyBorder="1" applyAlignment="1">
      <alignment horizontal="center"/>
    </xf>
    <xf numFmtId="187" fontId="9" fillId="0" borderId="3" xfId="0" applyNumberFormat="1" applyFont="1" applyBorder="1" applyAlignment="1">
      <alignment horizontal="center"/>
    </xf>
    <xf numFmtId="179" fontId="9" fillId="0" borderId="3" xfId="0" applyNumberFormat="1" applyFont="1" applyBorder="1" applyAlignment="1">
      <alignment horizontal="center"/>
    </xf>
    <xf numFmtId="180" fontId="9" fillId="0" borderId="3" xfId="0" applyNumberFormat="1" applyFont="1" applyBorder="1" applyAlignment="1">
      <alignment horizontal="center"/>
    </xf>
    <xf numFmtId="189" fontId="9" fillId="0" borderId="3" xfId="0" applyNumberFormat="1" applyFont="1" applyBorder="1" applyAlignment="1">
      <alignment horizontal="center"/>
    </xf>
    <xf numFmtId="181" fontId="9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2" xfId="0" applyFont="1" applyBorder="1"/>
    <xf numFmtId="0" fontId="9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7" fillId="9" borderId="11" xfId="0" applyFont="1" applyFill="1" applyBorder="1"/>
    <xf numFmtId="0" fontId="0" fillId="9" borderId="13" xfId="0" applyFill="1" applyBorder="1"/>
    <xf numFmtId="0" fontId="20" fillId="0" borderId="0" xfId="1" applyFont="1"/>
    <xf numFmtId="0" fontId="9" fillId="0" borderId="72" xfId="0" applyFont="1" applyBorder="1" applyProtection="1">
      <protection locked="0"/>
    </xf>
    <xf numFmtId="164" fontId="9" fillId="0" borderId="73" xfId="0" applyNumberFormat="1" applyFont="1" applyBorder="1" applyAlignment="1" applyProtection="1">
      <alignment horizontal="center"/>
      <protection locked="0"/>
    </xf>
    <xf numFmtId="0" fontId="9" fillId="0" borderId="75" xfId="0" applyFont="1" applyBorder="1" applyProtection="1">
      <protection locked="0"/>
    </xf>
    <xf numFmtId="164" fontId="9" fillId="0" borderId="76" xfId="0" applyNumberFormat="1" applyFont="1" applyBorder="1" applyAlignment="1" applyProtection="1">
      <alignment horizontal="center"/>
      <protection locked="0"/>
    </xf>
    <xf numFmtId="0" fontId="9" fillId="0" borderId="78" xfId="0" applyFont="1" applyBorder="1" applyProtection="1">
      <protection locked="0"/>
    </xf>
    <xf numFmtId="164" fontId="9" fillId="0" borderId="79" xfId="0" applyNumberFormat="1" applyFont="1" applyBorder="1" applyAlignment="1" applyProtection="1">
      <alignment horizontal="center"/>
      <protection locked="0"/>
    </xf>
    <xf numFmtId="0" fontId="2" fillId="0" borderId="80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2" fillId="0" borderId="82" xfId="0" applyFont="1" applyBorder="1" applyAlignment="1">
      <alignment horizontal="center"/>
    </xf>
    <xf numFmtId="0" fontId="1" fillId="0" borderId="27" xfId="0" applyFont="1" applyBorder="1"/>
    <xf numFmtId="0" fontId="11" fillId="0" borderId="28" xfId="0" applyFont="1" applyBorder="1"/>
    <xf numFmtId="0" fontId="9" fillId="0" borderId="29" xfId="0" applyFont="1" applyBorder="1"/>
    <xf numFmtId="0" fontId="9" fillId="0" borderId="24" xfId="0" applyFont="1" applyBorder="1"/>
    <xf numFmtId="0" fontId="20" fillId="0" borderId="84" xfId="1" applyFont="1" applyBorder="1"/>
    <xf numFmtId="0" fontId="11" fillId="0" borderId="83" xfId="0" applyFont="1" applyBorder="1"/>
    <xf numFmtId="2" fontId="11" fillId="0" borderId="77" xfId="0" applyNumberFormat="1" applyFont="1" applyBorder="1" applyAlignment="1" applyProtection="1">
      <alignment horizontal="center"/>
      <protection locked="0"/>
    </xf>
    <xf numFmtId="2" fontId="11" fillId="0" borderId="71" xfId="0" applyNumberFormat="1" applyFont="1" applyBorder="1" applyAlignment="1" applyProtection="1">
      <alignment horizontal="center"/>
      <protection locked="0"/>
    </xf>
    <xf numFmtId="2" fontId="11" fillId="0" borderId="74" xfId="0" applyNumberFormat="1" applyFont="1" applyBorder="1" applyAlignment="1" applyProtection="1">
      <alignment horizontal="center"/>
      <protection locked="0"/>
    </xf>
    <xf numFmtId="0" fontId="20" fillId="0" borderId="33" xfId="1" applyFont="1" applyBorder="1"/>
    <xf numFmtId="0" fontId="4" fillId="0" borderId="2" xfId="0" applyFont="1" applyBorder="1"/>
    <xf numFmtId="0" fontId="0" fillId="0" borderId="0" xfId="0"/>
    <xf numFmtId="0" fontId="9" fillId="3" borderId="63" xfId="0" applyFont="1" applyFill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56" xfId="0" applyFont="1" applyBorder="1" applyAlignment="1">
      <alignment vertical="top" wrapText="1"/>
    </xf>
    <xf numFmtId="0" fontId="9" fillId="8" borderId="28" xfId="0" applyFont="1" applyFill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31" xfId="0" applyFont="1" applyBorder="1" applyAlignment="1">
      <alignment vertical="top" wrapText="1"/>
    </xf>
    <xf numFmtId="0" fontId="9" fillId="3" borderId="42" xfId="0" applyFont="1" applyFill="1" applyBorder="1" applyAlignment="1">
      <alignment vertical="top" wrapText="1"/>
    </xf>
    <xf numFmtId="0" fontId="6" fillId="0" borderId="50" xfId="0" applyFont="1" applyBorder="1" applyAlignment="1">
      <alignment vertical="top" wrapText="1"/>
    </xf>
    <xf numFmtId="0" fontId="9" fillId="8" borderId="60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3" borderId="60" xfId="0" applyFont="1" applyFill="1" applyBorder="1" applyAlignment="1">
      <alignment vertical="top" wrapText="1"/>
    </xf>
    <xf numFmtId="0" fontId="9" fillId="3" borderId="8" xfId="0" applyFont="1" applyFill="1" applyBorder="1" applyAlignment="1">
      <alignment vertical="top" wrapText="1"/>
    </xf>
    <xf numFmtId="0" fontId="9" fillId="3" borderId="50" xfId="0" applyFont="1" applyFill="1" applyBorder="1" applyAlignment="1">
      <alignment vertical="top" wrapText="1"/>
    </xf>
    <xf numFmtId="0" fontId="9" fillId="8" borderId="3" xfId="0" applyFont="1" applyFill="1" applyBorder="1" applyAlignment="1">
      <alignment vertical="top" wrapText="1"/>
    </xf>
  </cellXfs>
  <cellStyles count="3">
    <cellStyle name="Hyperlink" xfId="1" builtinId="8"/>
    <cellStyle name="Normal" xfId="0" builtinId="0"/>
    <cellStyle name="Normal 2" xfId="2" xr:uid="{C361BCA0-01EE-4305-AE86-BF39F8693B25}"/>
  </cellStyles>
  <dxfs count="7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190" formatCode="0.00000"/>
      <fill>
        <patternFill patternType="none">
          <fgColor indexed="64"/>
          <bgColor indexed="65"/>
        </patternFill>
      </fill>
      <protection locked="1" hidden="0"/>
    </dxf>
    <dxf>
      <numFmt numFmtId="183" formatCode="0.0"/>
      <protection locked="1" hidden="0"/>
    </dxf>
    <dxf>
      <numFmt numFmtId="183" formatCode="0.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\ &quot;°C&quot;"/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numFmt numFmtId="182" formatCode="0.0\ &quot;°C&quot;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border>
        <right style="thin">
          <color indexed="64"/>
        </right>
      </border>
      <protection locked="1" hidden="0"/>
    </dxf>
    <dxf>
      <protection locked="1" hidden="0"/>
    </dxf>
    <dxf>
      <protection locked="1" hidden="0"/>
    </dxf>
    <dxf>
      <protection locked="1" hidden="0"/>
    </dxf>
    <dxf>
      <numFmt numFmtId="177" formatCode="0.0000"/>
      <alignment horizontal="center" vertical="bottom" textRotation="0" wrapText="0" indent="0" justifyLastLine="0" shrinkToFit="0" readingOrder="0"/>
      <protection locked="1" hidden="0"/>
    </dxf>
    <dxf>
      <numFmt numFmtId="2" formatCode="0.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1" formatCode="0\ &quot;mbar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9" formatCode="0.0000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9" formatCode="0.0000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0" formatCode="0.0\ &quot;mm2/s (cSt)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0.000\ &quot;W/m*K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7" formatCode="0\ &quot;J/kg*K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4" formatCode="0.00\ &quot;kg/m3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0\ &quot;ppm&quot;"/>
      <alignment horizontal="center" vertical="bottom" textRotation="0" wrapText="0" indent="0" justifyLastLine="0" shrinkToFit="0" readingOrder="0"/>
      <protection locked="1" hidden="0"/>
    </dxf>
    <dxf>
      <numFmt numFmtId="167" formatCode="0\ &quot;°C&quot;"/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protection locked="1" hidden="0"/>
    </dxf>
    <dxf>
      <alignment horizontal="general" vertical="top" textRotation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C6EFCE"/>
      <color rgb="FF006100"/>
      <color rgb="FF9C5700"/>
      <color rgb="FFE7E6E6"/>
      <color rgb="FFFFC7CE"/>
      <color rgb="FFB4C6E7"/>
      <color rgb="FFFF5050"/>
      <color rgb="FF79533B"/>
      <color rgb="FFAD7857"/>
      <color rgb="FFDCC6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SPECSHEET'!$C$26</c:f>
              <c:strCache>
                <c:ptCount val="1"/>
                <c:pt idx="0">
                  <c:v>Max moisture
ASTM D1533-20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SPECSHEET'!$C$27:$C$32</c:f>
              <c:numCache>
                <c:formatCode>0\ "ppm"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pp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SPECSHEET'!$D$26</c:f>
              <c:strCache>
                <c:ptCount val="1"/>
                <c:pt idx="0">
                  <c:v>Density
ISO 12185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SPECSHEET'!$D$27:$D$32</c:f>
              <c:numCache>
                <c:formatCode>0.00\ "kg/m3"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kg/m3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SPECSHEET'!$E$26</c:f>
              <c:strCache>
                <c:ptCount val="1"/>
                <c:pt idx="0">
                  <c:v>Specific heat
ASTM E 1269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SPECSHEET'!$E$27:$E$32</c:f>
              <c:numCache>
                <c:formatCode>0\ "J/kg*K"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J/kg*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SPECSHEET'!$F$26</c:f>
              <c:strCache>
                <c:ptCount val="1"/>
                <c:pt idx="0">
                  <c:v>Thermal conductivity
ASTM D 7896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SPECSHEET'!$F$27:$F$32</c:f>
              <c:numCache>
                <c:formatCode>0.000\ "W/m*K"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\ &quot;W/m*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SPECSHEET'!$G$26</c:f>
              <c:strCache>
                <c:ptCount val="1"/>
                <c:pt idx="0">
                  <c:v>Kinematic viscosity
ASTM D7042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SPECSHEET'!$G$27:$G$32</c:f>
              <c:numCache>
                <c:formatCode>0.0\ "mm2/s (cSt)"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m2/s (cSt)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SPECSHEET'!$I$26</c:f>
              <c:strCache>
                <c:ptCount val="1"/>
                <c:pt idx="0">
                  <c:v>Dynamic viscosity N-s/m2
(calculated)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SPECSHEET'!$I$27:$I$32</c:f>
              <c:numCache>
                <c:formatCode>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SPECSHEET'!$J$26</c:f>
              <c:strCache>
                <c:ptCount val="1"/>
                <c:pt idx="0">
                  <c:v>Vapour pressure
ASTM D2879/ASTM D6378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SPECSHEET'!$J$27:$J$32</c:f>
              <c:numCache>
                <c:formatCode>0\ "mbar"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mbar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597144</xdr:colOff>
      <xdr:row>55</xdr:row>
      <xdr:rowOff>189035</xdr:rowOff>
    </xdr:from>
    <xdr:to>
      <xdr:col>2</xdr:col>
      <xdr:colOff>2044212</xdr:colOff>
      <xdr:row>70</xdr:row>
      <xdr:rowOff>74735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CB87F-F27B-F9B7-4B77-500AA8541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3662</xdr:colOff>
      <xdr:row>70</xdr:row>
      <xdr:rowOff>189035</xdr:rowOff>
    </xdr:from>
    <xdr:to>
      <xdr:col>2</xdr:col>
      <xdr:colOff>2058865</xdr:colOff>
      <xdr:row>85</xdr:row>
      <xdr:rowOff>74735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92B27B-BEA5-0BDC-4947-4A0860B1F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604470</xdr:colOff>
      <xdr:row>85</xdr:row>
      <xdr:rowOff>189035</xdr:rowOff>
    </xdr:from>
    <xdr:to>
      <xdr:col>2</xdr:col>
      <xdr:colOff>2051538</xdr:colOff>
      <xdr:row>100</xdr:row>
      <xdr:rowOff>74735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477D3-E1B9-19A1-8EB2-780BF67A2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3664</xdr:colOff>
      <xdr:row>55</xdr:row>
      <xdr:rowOff>189035</xdr:rowOff>
    </xdr:from>
    <xdr:to>
      <xdr:col>7</xdr:col>
      <xdr:colOff>164857</xdr:colOff>
      <xdr:row>70</xdr:row>
      <xdr:rowOff>74735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BA2EF6-7F02-4F11-A911-570A3DE98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3663</xdr:colOff>
      <xdr:row>70</xdr:row>
      <xdr:rowOff>189035</xdr:rowOff>
    </xdr:from>
    <xdr:to>
      <xdr:col>7</xdr:col>
      <xdr:colOff>164856</xdr:colOff>
      <xdr:row>85</xdr:row>
      <xdr:rowOff>74735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EDD3B0-CA88-89BC-5C52-2932DA3FE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10990</xdr:colOff>
      <xdr:row>85</xdr:row>
      <xdr:rowOff>189035</xdr:rowOff>
    </xdr:from>
    <xdr:to>
      <xdr:col>7</xdr:col>
      <xdr:colOff>172183</xdr:colOff>
      <xdr:row>100</xdr:row>
      <xdr:rowOff>74735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FB7843-67D9-01DA-2628-167461CDE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1373799</xdr:colOff>
      <xdr:row>55</xdr:row>
      <xdr:rowOff>189035</xdr:rowOff>
    </xdr:from>
    <xdr:to>
      <xdr:col>12</xdr:col>
      <xdr:colOff>40299</xdr:colOff>
      <xdr:row>70</xdr:row>
      <xdr:rowOff>74735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979A66-C34C-28E7-DA0E-DD4B26064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A0860-895B-401D-97A5-ECC967EC6EF2}" name="Table_Fluidprop_10C" displayName="Table_Fluidprop_10C" ref="B26:J32" totalsRowShown="0" headerRowDxfId="72" dataDxfId="71">
  <autoFilter ref="B26:J32" xr:uid="{2BFA0860-895B-401D-97A5-ECC967EC6E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67CC71B-6A3B-4818-A890-EF9112C4F95D}" name="Fluid physical properties" dataDxfId="70">
      <calculatedColumnFormula>IF('Specification sheet'!C$9=Fields!E$6,IF('Specification sheet'!E$13&gt;Fields!B19,Fields!B19,Fields!$B$9),Fields!B19)</calculatedColumnFormula>
    </tableColumn>
    <tableColumn id="2" xr3:uid="{75C688F2-AFAA-4904-B152-5FF88F8286EA}" name="Max moisture_x000a_ASTM D1533-20" dataDxfId="69">
      <calculatedColumnFormula>IF(Table_Fluidprop_10C[[#This Row],[Fluid physical properties]]=Fields!$B$9,"",'Specification sheet'!E28)</calculatedColumnFormula>
    </tableColumn>
    <tableColumn id="3" xr3:uid="{BBBF373D-74FB-49FE-8F85-5845CB3ED5D9}" name="Density_x000a_ISO 12185" dataDxfId="68">
      <calculatedColumnFormula>IF(Table_Fluidprop_10C[[#This Row],[Fluid physical properties]]=Fields!$B$9,"",'Specification sheet'!E34)</calculatedColumnFormula>
    </tableColumn>
    <tableColumn id="4" xr3:uid="{7B353675-78B3-4701-8866-109F2A90C1C4}" name="Specific heat_x000a_ASTM E 1269" dataDxfId="67">
      <calculatedColumnFormula>IF(Table_Fluidprop_10C[[#This Row],[Fluid physical properties]]=Fields!$B$9,"",'Specification sheet'!E40)</calculatedColumnFormula>
    </tableColumn>
    <tableColumn id="5" xr3:uid="{26A60670-3EE4-4BE2-BD59-7C700E3B43A1}" name="Thermal conductivity_x000a_ASTM D 7896" dataDxfId="66">
      <calculatedColumnFormula>IF(Table_Fluidprop_10C[[#This Row],[Fluid physical properties]]=Fields!$B$9,"",'Specification sheet'!E46)</calculatedColumnFormula>
    </tableColumn>
    <tableColumn id="6" xr3:uid="{20D76BE4-6E3D-43A5-A746-32E0F5A973CE}" name="Kinematic viscosity_x000a_ASTM D7042" dataDxfId="65">
      <calculatedColumnFormula>IF(Table_Fluidprop_10C[[#This Row],[Fluid physical properties]]=Fields!$B$9,"",'Specification sheet'!E52)</calculatedColumnFormula>
    </tableColumn>
    <tableColumn id="7" xr3:uid="{1D991D5A-382B-4656-A355-6B762E2A25B2}" name="Dynamic viscosity (cp)_x000a_(calculated)" dataDxfId="64">
      <calculatedColumnFormula>IF(Table_Fluidprop_10C[[#This Row],[Fluid physical properties]]=Fields!$B$9,"",G27*D27/1000)</calculatedColumnFormula>
    </tableColumn>
    <tableColumn id="10" xr3:uid="{B156617C-714B-4F19-A0DE-F9D02F554F43}" name="Dynamic viscosity N-s/m2_x000a_(calculated)" dataDxfId="63">
      <calculatedColumnFormula>IF(Table_Fluidprop_10C[[#This Row],[Fluid physical properties]]=Fields!$B$9,"",Table_Fluidprop_10C[[#This Row],[Dynamic viscosity (cp)
(calculated)]]/1000)</calculatedColumnFormula>
    </tableColumn>
    <tableColumn id="8" xr3:uid="{505C0BEF-C565-4398-BD12-8F86EDD9D02C}" name="Vapour pressure_x000a_ASTM D2879/ASTM D6378 " dataDxfId="62">
      <calculatedColumnFormula>IF(Table_Fluidprop_10C[[#This Row],[Fluid physical properties]]=Fields!$B$9,"",'Specification sheet'!E58)</calculatedColumnFormula>
    </tableColumn>
  </tableColumns>
  <tableStyleInfo name="TableStyleMedium7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73912-551E-460A-A2E3-535A6A024E6C}" name="Table_Dielectric" displayName="Table_Dielectric" ref="B34:D38" totalsRowShown="0" headerRowDxfId="61" dataDxfId="60">
  <autoFilter ref="B34:D38" xr:uid="{63373912-551E-460A-A2E3-535A6A024E6C}">
    <filterColumn colId="0" hiddenButton="1"/>
    <filterColumn colId="1" hiddenButton="1"/>
    <filterColumn colId="2" hiddenButton="1"/>
  </autoFilter>
  <tableColumns count="3">
    <tableColumn id="1" xr3:uid="{B80897C7-A5BC-4567-9801-32ACE11F31CE}" name="Dielectric Constant and Loss tangent (@5VAC)" dataDxfId="59">
      <calculatedColumnFormula>'Specification sheet'!D20</calculatedColumnFormula>
    </tableColumn>
    <tableColumn id="2" xr3:uid="{BD0DACA4-D217-4C6F-93EB-DDB20EFA2C90}" name="Dielectric Constant" dataDxfId="58">
      <calculatedColumnFormula>'Specification sheet'!E20</calculatedColumnFormula>
    </tableColumn>
    <tableColumn id="3" xr3:uid="{ABFFA71E-F81E-404D-84DE-FE3ED56A81BC}" name="Loss Tangent" dataDxfId="57">
      <calculatedColumnFormula>'Specification sheet'!E24</calculatedColumnFormula>
    </tableColumn>
  </tableColumns>
  <tableStyleInfo name="TableStyleMedium7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A8972F-194D-41C9-BEAD-5F4A5A872D9D}" name="Table3" displayName="Table3" ref="B4:D24" totalsRowShown="0" headerRowDxfId="56" dataDxfId="55">
  <autoFilter ref="B4:D24" xr:uid="{F4A8972F-194D-41C9-BEAD-5F4A5A872D9D}">
    <filterColumn colId="0" hiddenButton="1"/>
    <filterColumn colId="1" hiddenButton="1"/>
    <filterColumn colId="2" hiddenButton="1"/>
  </autoFilter>
  <tableColumns count="3">
    <tableColumn id="1" xr3:uid="{827F0274-A7CE-4606-B0DF-49DB3AA55DC7}" name="Characteristics" dataDxfId="54"/>
    <tableColumn id="2" xr3:uid="{5E0AE17C-FF8C-485E-9375-3371173988CD}" name="Method" dataDxfId="53"/>
    <tableColumn id="3" xr3:uid="{8CF6CB0A-6C7D-49A0-9275-26C21F54074C}" name="Value" dataDxfId="52"/>
  </tableColumns>
  <tableStyleInfo name="TableStyleMedium7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E656F1-DA58-4D75-934A-C4465318DBF0}" name="Table4" displayName="Table4" ref="B48:D53" totalsRowShown="0" headerRowDxfId="51" dataDxfId="50">
  <autoFilter ref="B48:D53" xr:uid="{63E656F1-DA58-4D75-934A-C4465318DBF0}">
    <filterColumn colId="0" hiddenButton="1"/>
    <filterColumn colId="1" hiddenButton="1"/>
    <filterColumn colId="2" hiddenButton="1"/>
  </autoFilter>
  <tableColumns count="3">
    <tableColumn id="1" xr3:uid="{96397086-DCEF-4F54-AEE5-5C8DBBA8AC4A}" name="Additional fluorocarbon properties" dataDxfId="49">
      <calculatedColumnFormula>'Specification sheet'!B13</calculatedColumnFormula>
    </tableColumn>
    <tableColumn id="2" xr3:uid="{E0A46194-096C-475C-9588-85B0C4F38BA5}" name="Method" dataDxfId="48">
      <calculatedColumnFormula>'Specification sheet'!C13</calculatedColumnFormula>
    </tableColumn>
    <tableColumn id="3" xr3:uid="{FC5CEDCD-DCE1-4CBD-AAC4-ABD339808158}" name="Value" dataDxfId="47">
      <calculatedColumnFormula>'Specification sheet'!E13</calculatedColumnFormula>
    </tableColumn>
  </tableColumns>
  <tableStyleInfo name="TableStyleMedium7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AC6B2B-3C0E-4AA0-A8ED-143B24B16985}" name="Table5" displayName="Table5" ref="B40:E46" totalsRowShown="0" headerRowDxfId="46" dataDxfId="45">
  <autoFilter ref="B40:E46" xr:uid="{6BAC6B2B-3C0E-4AA0-A8ED-143B24B16985}">
    <filterColumn colId="0" hiddenButton="1"/>
    <filterColumn colId="1" hiddenButton="1"/>
    <filterColumn colId="2" hiddenButton="1"/>
    <filterColumn colId="3" hiddenButton="1"/>
  </autoFilter>
  <tableColumns count="4">
    <tableColumn id="1" xr3:uid="{20B6169D-E0FD-4D7C-8824-8005A62B2BE4}" name="Figure of merit" dataDxfId="44">
      <calculatedColumnFormula>Fields!B19</calculatedColumnFormula>
    </tableColumn>
    <tableColumn id="2" xr3:uid="{74C02D3E-B6BA-4BFA-86EA-49D0C1D28290}" name="FOM1" dataDxfId="43">
      <calculatedColumnFormula>F27*(D$8*E27*D27^2/I27/F27)^0.2813</calculatedColumnFormula>
    </tableColumn>
    <tableColumn id="3" xr3:uid="{C22C7021-F41A-453D-A130-9863C4C71F6C}" name="FOM2" dataDxfId="42">
      <calculatedColumnFormula>F27*(D27*E27/F27)^(1/3)</calculatedColumnFormula>
    </tableColumn>
    <tableColumn id="4" xr3:uid="{8D674A91-CCB7-4376-BBF0-F482C1CFD5A4}" name="FOM3" dataDxfId="41" dataCellStyle="Normal 2">
      <calculatedColumnFormula>I27</calculatedColumnFormula>
    </tableColumn>
  </tableColumns>
  <tableStyleInfo name="TableStyleMedium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lf.Brink@ocproject.net;%20John.Bean@ocproject.net?subject=Qualification%20to%20Immersion%20Requirements&amp;body=Hi,%0D%0A%0D%0AI%20would%20like%20to%20submit%20the%20attached%20qualification%20for%20Immersion%20Requirement%20Rev2.1.%20Can%20you%20please%20facilitate%20the%20further%20process?%0D%0AKind%20Regards" TargetMode="External"/><Relationship Id="rId2" Type="http://schemas.openxmlformats.org/officeDocument/2006/relationships/hyperlink" Target="https://www.opencompute.org/wiki/Cooling_Environments/Immersion" TargetMode="External"/><Relationship Id="rId1" Type="http://schemas.openxmlformats.org/officeDocument/2006/relationships/hyperlink" Target="http://creativecommons.org/licenses/by/4.0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59"/>
  <sheetViews>
    <sheetView tabSelected="1" workbookViewId="0"/>
  </sheetViews>
  <sheetFormatPr defaultColWidth="14.42578125" defaultRowHeight="15" customHeight="1" x14ac:dyDescent="0.25"/>
  <cols>
    <col min="2" max="2" width="7.85546875" bestFit="1" customWidth="1"/>
    <col min="3" max="3" width="73" bestFit="1" customWidth="1"/>
    <col min="4" max="4" width="66.7109375" bestFit="1" customWidth="1"/>
  </cols>
  <sheetData>
    <row r="1" spans="1:24" ht="15.75" thickBot="1" x14ac:dyDescent="0.3">
      <c r="A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 x14ac:dyDescent="0.3">
      <c r="A2" s="45"/>
      <c r="B2" s="174" t="s">
        <v>1</v>
      </c>
      <c r="C2" s="175" t="s">
        <v>2</v>
      </c>
      <c r="D2" s="176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45"/>
      <c r="B3" s="183" t="s">
        <v>180</v>
      </c>
      <c r="C3" s="172" t="s">
        <v>88</v>
      </c>
      <c r="D3" s="173">
        <v>43703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45"/>
      <c r="B4" s="184" t="s">
        <v>179</v>
      </c>
      <c r="C4" s="168" t="s">
        <v>134</v>
      </c>
      <c r="D4" s="169">
        <v>44552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thickBot="1" x14ac:dyDescent="0.3">
      <c r="A5" s="45"/>
      <c r="B5" s="185" t="s">
        <v>178</v>
      </c>
      <c r="C5" s="170" t="s">
        <v>135</v>
      </c>
      <c r="D5" s="171">
        <v>45156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thickBot="1" x14ac:dyDescent="0.3">
      <c r="A6" s="45"/>
      <c r="B6" s="185" t="s">
        <v>178</v>
      </c>
      <c r="C6" s="170" t="s">
        <v>193</v>
      </c>
      <c r="D6" s="171">
        <v>45359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77"/>
      <c r="C9" s="178" t="s">
        <v>182</v>
      </c>
      <c r="D9" s="179" t="s">
        <v>189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82" t="s">
        <v>185</v>
      </c>
      <c r="C10" s="180" t="s">
        <v>183</v>
      </c>
      <c r="D10" s="181" t="str" cm="1">
        <f t="array" aca="1" ref="D10" ca="1">MID(CELL("filename",'Specification sheet'!C9),FIND("]",CELL("filename",'Specification sheet'!C9))+1,255)</f>
        <v>Specification sheet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82" t="s">
        <v>186</v>
      </c>
      <c r="C11" s="180" t="s">
        <v>184</v>
      </c>
      <c r="D11" s="181" t="str" cm="1">
        <f t="array" aca="1" ref="D11" ca="1">MID(CELL("filename",'GENERATED FLUID SPECSHEET'!B1),FIND("]",CELL("filename",'GENERATED FLUID SPECSHEET'!B1))+1,255)</f>
        <v>GENERATED FLUID SPECSHEET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82" t="s">
        <v>187</v>
      </c>
      <c r="C12" s="180" t="s">
        <v>192</v>
      </c>
      <c r="D12" s="181" t="s">
        <v>188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61"/>
      <c r="C13" s="161"/>
      <c r="D13" s="16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.75" x14ac:dyDescent="0.3">
      <c r="A14" s="1"/>
      <c r="B14" s="1"/>
      <c r="C14" s="187" t="s">
        <v>3</v>
      </c>
      <c r="D14" s="18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60" t="s">
        <v>191</v>
      </c>
      <c r="D16" s="186" t="s">
        <v>168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</sheetData>
  <mergeCells count="1">
    <mergeCell ref="C14:D14"/>
  </mergeCells>
  <hyperlinks>
    <hyperlink ref="C14" r:id="rId1" xr:uid="{00000000-0004-0000-0000-000000000000}"/>
    <hyperlink ref="D16" r:id="rId2" xr:uid="{C23B6D5B-2970-4549-B4CA-95FB015168B6}"/>
    <hyperlink ref="D10" location="'Specification sheet'!C9" display="'Specification sheet'!C9" xr:uid="{B28D1CC5-02D5-4357-B05E-1AE7B85248B0}"/>
    <hyperlink ref="D11" location="'GENERATED FLUID SPECSHEET'!A1" display="'GENERATED FLUID SPECSHEET'!A1" xr:uid="{9A102F4C-05A1-4A00-8488-5155C0684533}"/>
    <hyperlink ref="D12" r:id="rId3" xr:uid="{99AE6C3E-030C-4D1E-92FA-0D891817074D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2"/>
  <sheetViews>
    <sheetView zoomScale="130" zoomScaleNormal="130" workbookViewId="0">
      <selection activeCell="C9" sqref="C9"/>
    </sheetView>
  </sheetViews>
  <sheetFormatPr defaultColWidth="14.42578125" defaultRowHeight="15" x14ac:dyDescent="0.25"/>
  <cols>
    <col min="1" max="1" width="3" customWidth="1"/>
    <col min="2" max="2" width="76.85546875" style="52" bestFit="1" customWidth="1"/>
    <col min="3" max="3" width="66.140625" style="52" customWidth="1"/>
    <col min="4" max="4" width="62.85546875" bestFit="1" customWidth="1"/>
    <col min="5" max="5" width="45.140625" style="9" bestFit="1" customWidth="1"/>
    <col min="6" max="6" width="66.85546875" style="20" customWidth="1"/>
    <col min="7" max="28" width="8.7109375" customWidth="1"/>
  </cols>
  <sheetData>
    <row r="2" spans="1:6" x14ac:dyDescent="0.25">
      <c r="B2" s="72" t="s">
        <v>84</v>
      </c>
    </row>
    <row r="3" spans="1:6" x14ac:dyDescent="0.25">
      <c r="B3" s="73" t="s">
        <v>85</v>
      </c>
    </row>
    <row r="4" spans="1:6" x14ac:dyDescent="0.25">
      <c r="B4" s="74" t="s">
        <v>83</v>
      </c>
    </row>
    <row r="5" spans="1:6" x14ac:dyDescent="0.25">
      <c r="B5" s="75" t="s">
        <v>86</v>
      </c>
    </row>
    <row r="6" spans="1:6" x14ac:dyDescent="0.25">
      <c r="B6" s="76" t="s">
        <v>87</v>
      </c>
    </row>
    <row r="7" spans="1:6" x14ac:dyDescent="0.25">
      <c r="B7" s="77" t="s">
        <v>82</v>
      </c>
    </row>
    <row r="8" spans="1:6" ht="15.75" thickBot="1" x14ac:dyDescent="0.3"/>
    <row r="9" spans="1:6" ht="19.5" thickBot="1" x14ac:dyDescent="0.35">
      <c r="B9" s="97" t="s">
        <v>63</v>
      </c>
      <c r="C9" s="98" t="inlineStr">
        <is>
          <t xml:space="preserve">Hydrocarbons</t>
        </is>
      </c>
      <c r="D9" s="113" t="inlineStr">
        <is>
          <t xml:space="preserve">TARGET CUT: Group III narrow cut C21-C25 (n-paraffin equivalent): KV100 ~2.6 cSt (simulated mu25 ~13.6 mPa.s vs &lt;= 15), SimDis T5 &gt;= ~357 C and T95 &lt;= ~402 C (light tail below C21 and heavy end above C25 removed). Thermal, viscosity and resistivity: measured 2 cSt Group III of equivalent viscosity (CRC Report AVFL-37, SwRI 2022). Fire-safety and dielectric values: literature ESTIMATES, marked in Remarks with basis and confidence. Not measurements.</t>
        </is>
      </c>
    </row>
    <row r="10" spans="1:6" ht="19.5" thickBot="1" x14ac:dyDescent="0.35">
      <c r="B10" s="3"/>
      <c r="C10" s="112"/>
      <c r="D10" s="3"/>
    </row>
    <row r="11" spans="1:6" ht="15.75" thickBot="1" x14ac:dyDescent="0.3">
      <c r="A11" s="2"/>
      <c r="B11" s="78" t="s">
        <v>80</v>
      </c>
      <c r="C11" s="4"/>
      <c r="D11" s="6" t="s">
        <v>6</v>
      </c>
      <c r="E11" s="4" t="s">
        <v>26</v>
      </c>
      <c r="F11" s="44" t="s">
        <v>28</v>
      </c>
    </row>
    <row r="12" spans="1:6" x14ac:dyDescent="0.25">
      <c r="A12" s="2"/>
      <c r="B12" s="79" t="s">
        <v>162</v>
      </c>
      <c r="C12" s="53"/>
      <c r="D12" s="32" t="e">
        <f>#REF!&amp;#REF!</f>
        <v>#NAME?</v>
      </c>
      <c r="E12" s="8"/>
      <c r="F12" s="26"/>
    </row>
    <row r="13" spans="1:6" x14ac:dyDescent="0.25">
      <c r="A13" s="2"/>
      <c r="B13" s="82" t="s">
        <v>166</v>
      </c>
      <c r="C13" s="65" t="s">
        <v>112</v>
      </c>
      <c r="D13" s="96" t="s">
        <v>167</v>
      </c>
      <c r="E13" s="88" t="str">
        <f>IF('Specification sheet'!C9=Fields!E6,"*ENTER THIS VALUE FIRST*",IF('Specification sheet'!C9=Fields!E8,Fields!F8,"N/A"))</f>
        <v>N/A</v>
      </c>
      <c r="F13" s="21"/>
    </row>
    <row r="14" spans="1:6" x14ac:dyDescent="0.25">
      <c r="A14" s="2"/>
      <c r="B14" s="82" t="s">
        <v>150</v>
      </c>
      <c r="C14" s="65" t="s">
        <v>127</v>
      </c>
      <c r="D14" s="66" t="s">
        <v>130</v>
      </c>
      <c r="E14" s="106" t="str">
        <f>IF('Specification sheet'!C9=Fields!E6,0,IF('Specification sheet'!C9=Fields!E8,Fields!F8,Fields!$B$9))</f>
        <v>N/A</v>
      </c>
      <c r="F14" s="21"/>
    </row>
    <row r="15" spans="1:6" x14ac:dyDescent="0.25">
      <c r="A15" s="2"/>
      <c r="B15" s="82" t="s">
        <v>151</v>
      </c>
      <c r="C15" s="65" t="s">
        <v>128</v>
      </c>
      <c r="D15" s="66" t="s">
        <v>130</v>
      </c>
      <c r="E15" s="107" t="str">
        <f>IF(C9=Fields!E6,0,IF(C9=Fields!E8,Fields!F8,Fields!$B$9))</f>
        <v>N/A</v>
      </c>
      <c r="F15" s="21"/>
    </row>
    <row r="16" spans="1:6" ht="15.75" thickBot="1" x14ac:dyDescent="0.3">
      <c r="A16" s="2"/>
      <c r="B16" s="84" t="s">
        <v>152</v>
      </c>
      <c r="C16" s="71" t="s">
        <v>129</v>
      </c>
      <c r="D16" s="33" t="s">
        <v>130</v>
      </c>
      <c r="E16" s="108" t="str">
        <f>IF(C9=Fields!E6,0,IF(C9=Fields!E8,Fields!F8,Fields!$B$9))</f>
        <v>N/A</v>
      </c>
      <c r="F16" s="22"/>
    </row>
    <row r="17" spans="1:6" ht="15.75" thickBot="1" x14ac:dyDescent="0.3">
      <c r="A17" s="2"/>
      <c r="B17" s="79" t="s">
        <v>65</v>
      </c>
      <c r="C17" s="53"/>
      <c r="D17" s="32" t="e">
        <f>#REF!&amp;#REF!</f>
        <v>#NAME?</v>
      </c>
      <c r="E17" s="8"/>
      <c r="F17" s="26"/>
    </row>
    <row r="18" spans="1:6" x14ac:dyDescent="0.25">
      <c r="A18" s="2"/>
      <c r="B18" s="87" t="s">
        <v>89</v>
      </c>
      <c r="C18" s="55" t="s">
        <v>90</v>
      </c>
      <c r="D18" s="103">
        <f>D84</f>
        <v>6</v>
      </c>
      <c r="E18" s="34">
        <v>10</v>
      </c>
      <c r="F18" s="24" t="inlineStr">
        <is>
          <t xml:space="preserve">ESTIMATE (low, conservative): entered at the low end of 10-25 kV/mm (as received); dried/filtered new fluid likely 25-40 kV/mm (fresh GTL and mineral transformer oils 78 kV per 2.5 mm, IEC 60156). Measure ASTM D1816</t>
        </is>
      </c>
    </row>
    <row r="19" spans="1:6" x14ac:dyDescent="0.25">
      <c r="A19" s="2"/>
      <c r="B19" s="89" t="s">
        <v>94</v>
      </c>
      <c r="C19" s="90" t="s">
        <v>95</v>
      </c>
      <c r="D19" s="104">
        <f>D85</f>
        <v>2</v>
      </c>
      <c r="E19" s="35">
        <v>12400</v>
      </c>
      <c r="F19" s="24" t="inlineStr">
        <is>
          <t xml:space="preserve">CRC AVFL-37 (SwRI 2022), 'Group III B, 2 cSt' Table 9, ASTM D1169 at 25 C, mean of 2 runs (1.24E15 ohm.cm)</t>
        </is>
      </c>
    </row>
    <row r="20" spans="1:6" x14ac:dyDescent="0.25">
      <c r="A20" s="2"/>
      <c r="B20" s="195" t="s">
        <v>91</v>
      </c>
      <c r="C20" s="197" t="s">
        <v>92</v>
      </c>
      <c r="D20" s="91" t="s">
        <v>110</v>
      </c>
      <c r="E20" s="51">
        <v>2.14</v>
      </c>
      <c r="F20" s="24" t="inlineStr">
        <is>
          <t xml:space="preserve">ESTIMATE (medium): Dk ~ n^2 for a nonpolar saturated oil; Lorentz-Lorenz with squalane/n-hexadecane specific refraction on the measured density (range 2.08-2.17 at 20 C, 2.02-2.11 at 70 C). Cross-checks: GTL immersion fluid TDS 2.02; synthetic coolant EC-110 2.17 to 2.06 over 5-49 GHz. Measure n_D (ASTM D1218) and Dk</t>
        </is>
      </c>
    </row>
    <row r="21" spans="1:6" x14ac:dyDescent="0.25">
      <c r="A21" s="2"/>
      <c r="B21" s="190"/>
      <c r="C21" s="193"/>
      <c r="D21" s="92" t="s">
        <v>111</v>
      </c>
      <c r="E21" s="51">
        <v>2.14</v>
      </c>
      <c r="F21" s="24"/>
    </row>
    <row r="22" spans="1:6" x14ac:dyDescent="0.25">
      <c r="A22" s="2"/>
      <c r="B22" s="190"/>
      <c r="C22" s="193"/>
      <c r="D22" s="92" t="str">
        <f>"20 GHz @ "&amp;IF(C9=Fields!E$6,'Specification sheet'!E$13,70)&amp;"°C"</f>
        <v>20 GHz @ 70°C</v>
      </c>
      <c r="E22" s="51">
        <v>2.08</v>
      </c>
      <c r="F22" s="24"/>
    </row>
    <row r="23" spans="1:6" x14ac:dyDescent="0.25">
      <c r="A23" s="2"/>
      <c r="B23" s="196"/>
      <c r="C23" s="198"/>
      <c r="D23" s="93" t="str">
        <f>"40 GHz @ "&amp;IF(C9=Fields!E$6,'Specification sheet'!E$13,70)&amp;"°C"</f>
        <v>40 GHz @ 70°C</v>
      </c>
      <c r="E23" s="51">
        <v>2.08</v>
      </c>
      <c r="F23" s="24"/>
    </row>
    <row r="24" spans="1:6" x14ac:dyDescent="0.25">
      <c r="A24" s="2"/>
      <c r="B24" s="195" t="s">
        <v>71</v>
      </c>
      <c r="C24" s="199" t="s">
        <v>93</v>
      </c>
      <c r="D24" s="91" t="s">
        <v>110</v>
      </c>
      <c r="E24" s="58">
        <v>0.001</v>
      </c>
      <c r="F24" s="24" t="inlineStr">
        <is>
          <t xml:space="preserve">ESTIMATE (low, conservative): entered as upper bound 1E-3; likely ~1E-4 to 1E-3 (EC-110: 5.8E-4 at 20.5 GHz, 4.6E-4 at 39.9 GHz). Well inside the 0.05 limit either way</t>
        </is>
      </c>
    </row>
    <row r="25" spans="1:6" x14ac:dyDescent="0.25">
      <c r="A25" s="2"/>
      <c r="B25" s="190"/>
      <c r="C25" s="193"/>
      <c r="D25" s="92" t="s">
        <v>111</v>
      </c>
      <c r="E25" s="58">
        <v>0.001</v>
      </c>
      <c r="F25" s="24"/>
    </row>
    <row r="26" spans="1:6" x14ac:dyDescent="0.25">
      <c r="A26" s="2"/>
      <c r="B26" s="190"/>
      <c r="C26" s="193"/>
      <c r="D26" s="92" t="str">
        <f>"20 GHz @ "&amp;IF(C9=Fields!E$6,'Specification sheet'!E$13,70)&amp;"°C"</f>
        <v>20 GHz @ 70°C</v>
      </c>
      <c r="E26" s="58">
        <v>0.001</v>
      </c>
      <c r="F26" s="24"/>
    </row>
    <row r="27" spans="1:6" x14ac:dyDescent="0.25">
      <c r="A27" s="2"/>
      <c r="B27" s="196"/>
      <c r="C27" s="198"/>
      <c r="D27" s="93" t="str">
        <f>"40 GHz @ "&amp;IF(C9=Fields!E$6,'Specification sheet'!E$13,70)&amp;"°C"</f>
        <v>40 GHz @ 70°C</v>
      </c>
      <c r="E27" s="58">
        <v>0.001</v>
      </c>
      <c r="F27" s="24"/>
    </row>
    <row r="28" spans="1:6" x14ac:dyDescent="0.25">
      <c r="A28" s="2"/>
      <c r="B28" s="195" t="s">
        <v>140</v>
      </c>
      <c r="C28" s="199" t="s">
        <v>105</v>
      </c>
      <c r="D28" s="126">
        <f>Fields!B$19</f>
        <v>20</v>
      </c>
      <c r="E28" s="59">
        <v>53</v>
      </c>
      <c r="F28" s="21" t="inlineStr">
        <is>
          <t xml:space="preserve">ESTIMATE (medium, upper bound): ppm; Oommen relation for mineral insulating oil, log10 ppm = 7.42 - 1670/T(K); a fully saturated paraffinic oil is probably equal or lower</t>
        </is>
      </c>
    </row>
    <row r="29" spans="1:6" x14ac:dyDescent="0.25">
      <c r="A29" s="2"/>
      <c r="B29" s="190"/>
      <c r="C29" s="193"/>
      <c r="D29" s="127">
        <f>Fields!B$20</f>
        <v>30</v>
      </c>
      <c r="E29" s="59">
        <v>82</v>
      </c>
      <c r="F29" s="21"/>
    </row>
    <row r="30" spans="1:6" x14ac:dyDescent="0.25">
      <c r="A30" s="2"/>
      <c r="B30" s="190"/>
      <c r="C30" s="193"/>
      <c r="D30" s="127">
        <f>Fields!B$21</f>
        <v>40</v>
      </c>
      <c r="E30" s="59">
        <v>122</v>
      </c>
      <c r="F30" s="21"/>
    </row>
    <row r="31" spans="1:6" x14ac:dyDescent="0.25">
      <c r="A31" s="2"/>
      <c r="B31" s="190"/>
      <c r="C31" s="193"/>
      <c r="D31" s="127">
        <f>Fields!B$22</f>
        <v>50</v>
      </c>
      <c r="E31" s="59">
        <v>179</v>
      </c>
      <c r="F31" s="21"/>
    </row>
    <row r="32" spans="1:6" x14ac:dyDescent="0.25">
      <c r="A32" s="2"/>
      <c r="B32" s="190"/>
      <c r="C32" s="193"/>
      <c r="D32" s="127">
        <f>Fields!B$23</f>
        <v>60</v>
      </c>
      <c r="E32" s="59">
        <v>255</v>
      </c>
      <c r="F32" s="21"/>
    </row>
    <row r="33" spans="1:6" x14ac:dyDescent="0.25">
      <c r="A33" s="2"/>
      <c r="B33" s="191"/>
      <c r="C33" s="194"/>
      <c r="D33" s="127">
        <f>Fields!B$24</f>
        <v>70</v>
      </c>
      <c r="E33" s="59">
        <v>358</v>
      </c>
      <c r="F33" s="21"/>
    </row>
    <row r="34" spans="1:6" x14ac:dyDescent="0.25">
      <c r="A34" s="2"/>
      <c r="B34" s="189" t="s">
        <v>141</v>
      </c>
      <c r="C34" s="192" t="s">
        <v>97</v>
      </c>
      <c r="D34" s="126">
        <f>Fields!B$19</f>
        <v>20</v>
      </c>
      <c r="E34" s="60">
        <v>832.2</v>
      </c>
      <c r="F34" s="21" t="inlineStr">
        <is>
          <t xml:space="preserve">kg/m3. CRC AVFL-37 (SwRI 2022), 'Group III B, 2 cSt' Table 6 (40/60/80/95 C), least-squares line</t>
        </is>
      </c>
    </row>
    <row r="35" spans="1:6" x14ac:dyDescent="0.25">
      <c r="A35" s="2"/>
      <c r="B35" s="190"/>
      <c r="C35" s="193"/>
      <c r="D35" s="127">
        <f>Fields!B$20</f>
        <v>30</v>
      </c>
      <c r="E35" s="60">
        <v>825.7</v>
      </c>
      <c r="F35" s="21"/>
    </row>
    <row r="36" spans="1:6" x14ac:dyDescent="0.25">
      <c r="A36" s="2"/>
      <c r="B36" s="190"/>
      <c r="C36" s="193"/>
      <c r="D36" s="127">
        <f>Fields!B$21</f>
        <v>40</v>
      </c>
      <c r="E36" s="60">
        <v>819.2</v>
      </c>
      <c r="F36" s="21"/>
    </row>
    <row r="37" spans="1:6" x14ac:dyDescent="0.25">
      <c r="A37" s="2"/>
      <c r="B37" s="190"/>
      <c r="C37" s="193"/>
      <c r="D37" s="127">
        <f>Fields!B$22</f>
        <v>50</v>
      </c>
      <c r="E37" s="60">
        <v>812.7</v>
      </c>
      <c r="F37" s="21"/>
    </row>
    <row r="38" spans="1:6" x14ac:dyDescent="0.25">
      <c r="A38" s="2"/>
      <c r="B38" s="190"/>
      <c r="C38" s="193"/>
      <c r="D38" s="127">
        <f>Fields!B$23</f>
        <v>60</v>
      </c>
      <c r="E38" s="60">
        <v>806.1</v>
      </c>
      <c r="F38" s="21"/>
    </row>
    <row r="39" spans="1:6" x14ac:dyDescent="0.25">
      <c r="A39" s="2"/>
      <c r="B39" s="191"/>
      <c r="C39" s="194"/>
      <c r="D39" s="127">
        <f>Fields!B$24</f>
        <v>70</v>
      </c>
      <c r="E39" s="60">
        <v>799.6</v>
      </c>
      <c r="F39" s="21"/>
    </row>
    <row r="40" spans="1:6" x14ac:dyDescent="0.25">
      <c r="A40" s="2"/>
      <c r="B40" s="189" t="s">
        <v>142</v>
      </c>
      <c r="C40" s="192" t="s">
        <v>106</v>
      </c>
      <c r="D40" s="126">
        <f>Fields!B$19</f>
        <v>20</v>
      </c>
      <c r="E40" s="121">
        <v>1746</v>
      </c>
      <c r="F40" s="21" t="inlineStr">
        <is>
          <t xml:space="preserve">J/kg.K. CRC AVFL-37 (SwRI 2022), 'Group III B, 2 cSt' Table 8 (0/40/70/100 C), linear interpolation</t>
        </is>
      </c>
    </row>
    <row r="41" spans="1:6" x14ac:dyDescent="0.25">
      <c r="A41" s="2"/>
      <c r="B41" s="190"/>
      <c r="C41" s="193"/>
      <c r="D41" s="127">
        <f>Fields!B$20</f>
        <v>30</v>
      </c>
      <c r="E41" s="121">
        <v>1774</v>
      </c>
      <c r="F41" s="21"/>
    </row>
    <row r="42" spans="1:6" x14ac:dyDescent="0.25">
      <c r="A42" s="2"/>
      <c r="B42" s="190"/>
      <c r="C42" s="193"/>
      <c r="D42" s="127">
        <f>Fields!B$21</f>
        <v>40</v>
      </c>
      <c r="E42" s="121">
        <v>1802</v>
      </c>
      <c r="F42" s="21"/>
    </row>
    <row r="43" spans="1:6" x14ac:dyDescent="0.25">
      <c r="A43" s="2"/>
      <c r="B43" s="190"/>
      <c r="C43" s="193"/>
      <c r="D43" s="127">
        <f>Fields!B$22</f>
        <v>50</v>
      </c>
      <c r="E43" s="121">
        <v>1833</v>
      </c>
      <c r="F43" s="21"/>
    </row>
    <row r="44" spans="1:6" x14ac:dyDescent="0.25">
      <c r="A44" s="2"/>
      <c r="B44" s="190"/>
      <c r="C44" s="193"/>
      <c r="D44" s="127">
        <f>Fields!B$23</f>
        <v>60</v>
      </c>
      <c r="E44" s="121">
        <v>1865</v>
      </c>
      <c r="F44" s="21"/>
    </row>
    <row r="45" spans="1:6" x14ac:dyDescent="0.25">
      <c r="A45" s="2"/>
      <c r="B45" s="191"/>
      <c r="C45" s="194"/>
      <c r="D45" s="127">
        <f>Fields!B$24</f>
        <v>70</v>
      </c>
      <c r="E45" s="121">
        <v>1896</v>
      </c>
      <c r="F45" s="21"/>
    </row>
    <row r="46" spans="1:6" x14ac:dyDescent="0.25">
      <c r="A46" s="2"/>
      <c r="B46" s="189" t="s">
        <v>143</v>
      </c>
      <c r="C46" s="192" t="s">
        <v>107</v>
      </c>
      <c r="D46" s="126">
        <f>Fields!B$19</f>
        <v>20</v>
      </c>
      <c r="E46" s="61">
        <v>0.1288</v>
      </c>
      <c r="F46" s="21" t="inlineStr">
        <is>
          <t xml:space="preserve">W/m.K. CRC AVFL-37 (SwRI 2022), 'Group III B, 2 cSt' Table 7 (0/40/70/100 C), linear interpolation</t>
        </is>
      </c>
    </row>
    <row r="47" spans="1:6" x14ac:dyDescent="0.25">
      <c r="A47" s="2"/>
      <c r="B47" s="190"/>
      <c r="C47" s="193"/>
      <c r="D47" s="127">
        <f>Fields!B$20</f>
        <v>30</v>
      </c>
      <c r="E47" s="61">
        <v>0.1276</v>
      </c>
      <c r="F47" s="21"/>
    </row>
    <row r="48" spans="1:6" x14ac:dyDescent="0.25">
      <c r="A48" s="2"/>
      <c r="B48" s="190"/>
      <c r="C48" s="193"/>
      <c r="D48" s="127">
        <f>Fields!B$21</f>
        <v>40</v>
      </c>
      <c r="E48" s="61">
        <v>0.1264</v>
      </c>
      <c r="F48" s="21"/>
    </row>
    <row r="49" spans="1:6" x14ac:dyDescent="0.25">
      <c r="A49" s="2"/>
      <c r="B49" s="190"/>
      <c r="C49" s="193"/>
      <c r="D49" s="127">
        <f>Fields!B$22</f>
        <v>50</v>
      </c>
      <c r="E49" s="61">
        <v>0.1252</v>
      </c>
      <c r="F49" s="21"/>
    </row>
    <row r="50" spans="1:6" x14ac:dyDescent="0.25">
      <c r="A50" s="2"/>
      <c r="B50" s="190"/>
      <c r="C50" s="193"/>
      <c r="D50" s="127">
        <f>Fields!B$23</f>
        <v>60</v>
      </c>
      <c r="E50" s="61">
        <v>0.1241</v>
      </c>
      <c r="F50" s="21"/>
    </row>
    <row r="51" spans="1:6" x14ac:dyDescent="0.25">
      <c r="A51" s="2"/>
      <c r="B51" s="191"/>
      <c r="C51" s="194"/>
      <c r="D51" s="127">
        <f>Fields!B$24</f>
        <v>70</v>
      </c>
      <c r="E51" s="61">
        <v>0.1229</v>
      </c>
      <c r="F51" s="21"/>
    </row>
    <row r="52" spans="1:6" x14ac:dyDescent="0.25">
      <c r="A52" s="2"/>
      <c r="B52" s="189" t="s">
        <v>144</v>
      </c>
      <c r="C52" s="192" t="s">
        <v>108</v>
      </c>
      <c r="D52" s="126">
        <f>Fields!B$19</f>
        <v>20</v>
      </c>
      <c r="E52" s="62">
        <v>19.14</v>
      </c>
      <c r="F52" s="21" t="inlineStr">
        <is>
          <t xml:space="preserve">cSt. CRC AVFL-37 (SwRI 2022), 'Group III B, 2 cSt' Table 5 (KV40 9.435, KV100 2.547), ASTM D341 extrapolation</t>
        </is>
      </c>
    </row>
    <row r="53" spans="1:6" x14ac:dyDescent="0.25">
      <c r="A53" s="2"/>
      <c r="B53" s="200"/>
      <c r="C53" s="202"/>
      <c r="D53" s="127">
        <f>Fields!B$20</f>
        <v>30</v>
      </c>
      <c r="E53" s="62">
        <v>13.1</v>
      </c>
      <c r="F53" s="21"/>
    </row>
    <row r="54" spans="1:6" x14ac:dyDescent="0.25">
      <c r="A54" s="2"/>
      <c r="B54" s="200"/>
      <c r="C54" s="202"/>
      <c r="D54" s="127">
        <f>Fields!B$21</f>
        <v>40</v>
      </c>
      <c r="E54" s="62">
        <v>9.43</v>
      </c>
      <c r="F54" s="21"/>
    </row>
    <row r="55" spans="1:6" x14ac:dyDescent="0.25">
      <c r="A55" s="2"/>
      <c r="B55" s="200"/>
      <c r="C55" s="202"/>
      <c r="D55" s="127">
        <f>Fields!B$22</f>
        <v>50</v>
      </c>
      <c r="E55" s="62">
        <v>7.08</v>
      </c>
      <c r="F55" s="21"/>
    </row>
    <row r="56" spans="1:6" x14ac:dyDescent="0.25">
      <c r="A56" s="2"/>
      <c r="B56" s="200"/>
      <c r="C56" s="202"/>
      <c r="D56" s="127">
        <f>Fields!B$23</f>
        <v>60</v>
      </c>
      <c r="E56" s="62">
        <v>5.5</v>
      </c>
      <c r="F56" s="21"/>
    </row>
    <row r="57" spans="1:6" x14ac:dyDescent="0.25">
      <c r="A57" s="2"/>
      <c r="B57" s="201"/>
      <c r="C57" s="202"/>
      <c r="D57" s="127">
        <f>Fields!B$24</f>
        <v>70</v>
      </c>
      <c r="E57" s="62">
        <v>4.39</v>
      </c>
      <c r="F57" s="21"/>
    </row>
    <row r="58" spans="1:6" x14ac:dyDescent="0.25">
      <c r="A58" s="2"/>
      <c r="B58" s="189" t="s">
        <v>77</v>
      </c>
      <c r="C58" s="192" t="s">
        <v>139</v>
      </c>
      <c r="D58" s="126">
        <f>Fields!B$19</f>
        <v>20</v>
      </c>
      <c r="E58" s="63">
        <v>2e-06</v>
      </c>
      <c r="F58" s="21" t="inlineStr">
        <is>
          <t xml:space="preserve">ESTIMATE (order of magnitude, upper bound): kPa (= 0.002-0.4 Pa, light-tail case; best case ~10x lower). Raoult sum over a C20-C26 boiling range with NIST/Chickos alkane data; &gt;1E4 below OCP's 0.8 kPa at 50 C</t>
        </is>
      </c>
    </row>
    <row r="59" spans="1:6" x14ac:dyDescent="0.25">
      <c r="A59" s="2"/>
      <c r="B59" s="190"/>
      <c r="C59" s="193"/>
      <c r="D59" s="127">
        <f>Fields!B$20</f>
        <v>30</v>
      </c>
      <c r="E59" s="63">
        <v>6e-06</v>
      </c>
      <c r="F59" s="21"/>
    </row>
    <row r="60" spans="1:6" x14ac:dyDescent="0.25">
      <c r="A60" s="2"/>
      <c r="B60" s="190"/>
      <c r="C60" s="193"/>
      <c r="D60" s="127">
        <f>Fields!B$21</f>
        <v>40</v>
      </c>
      <c r="E60" s="63">
        <v>2e-05</v>
      </c>
      <c r="F60" s="21"/>
    </row>
    <row r="61" spans="1:6" x14ac:dyDescent="0.25">
      <c r="A61" s="2"/>
      <c r="B61" s="190"/>
      <c r="C61" s="193"/>
      <c r="D61" s="127">
        <f>Fields!B$22</f>
        <v>50</v>
      </c>
      <c r="E61" s="63">
        <v>5e-05</v>
      </c>
      <c r="F61" s="21"/>
    </row>
    <row r="62" spans="1:6" x14ac:dyDescent="0.25">
      <c r="A62" s="2"/>
      <c r="B62" s="190"/>
      <c r="C62" s="193"/>
      <c r="D62" s="127">
        <f>Fields!B$23</f>
        <v>60</v>
      </c>
      <c r="E62" s="63">
        <v>0.00015</v>
      </c>
      <c r="F62" s="21"/>
    </row>
    <row r="63" spans="1:6" x14ac:dyDescent="0.25">
      <c r="A63" s="2"/>
      <c r="B63" s="191"/>
      <c r="C63" s="194"/>
      <c r="D63" s="127">
        <f>Fields!B$24</f>
        <v>70</v>
      </c>
      <c r="E63" s="63">
        <v>0.0004</v>
      </c>
      <c r="F63" s="21"/>
    </row>
    <row r="64" spans="1:6" x14ac:dyDescent="0.25">
      <c r="A64" s="2"/>
      <c r="B64" s="80" t="s">
        <v>18</v>
      </c>
      <c r="C64" s="54" t="s">
        <v>96</v>
      </c>
      <c r="D64" s="94"/>
      <c r="E64" s="122">
        <v>0.000787</v>
      </c>
      <c r="F64" s="21" t="inlineStr">
        <is>
          <t xml:space="preserve">1/K at 25 C, from the CRC AVFL-37 (SwRI 2022), 'Group III B, 2 cSt' density slope (Table 6); not a D1903 measurement</t>
        </is>
      </c>
    </row>
    <row r="65" spans="1:6" x14ac:dyDescent="0.25">
      <c r="A65" s="2"/>
      <c r="B65" s="81" t="s">
        <v>14</v>
      </c>
      <c r="C65" s="64" t="s">
        <v>109</v>
      </c>
      <c r="D65" s="95"/>
      <c r="E65" s="36">
        <v>-42</v>
      </c>
      <c r="F65" s="21" t="inlineStr">
        <is>
          <t xml:space="preserve">Typical '&lt; -42 C' (ASTM D97), Repsol GII-GIII TDS rev 3 (2017), Yubase 2</t>
        </is>
      </c>
    </row>
    <row r="66" spans="1:6" x14ac:dyDescent="0.25">
      <c r="A66" s="2"/>
      <c r="B66" s="82" t="s">
        <v>177</v>
      </c>
      <c r="C66" s="67" t="s">
        <v>113</v>
      </c>
      <c r="D66" s="99">
        <f>D87</f>
        <v>150</v>
      </c>
      <c r="E66" s="68">
        <v>163</v>
      </c>
      <c r="F66" s="21" t="inlineStr">
        <is>
          <t xml:space="preserve">ESTIMATE (medium-low): target narrow cut C21-C25, closed cup ~163-189 C, entered at 163. Narrow-cut isoparaffinic fluids of the same viscosity reach PMCC 184-191 C (Shell Diala S4 ZX-I, KV40 9.6) and COC 200 C (Shell S5 X, KV40 9.8); a crude-derived Group III boils slightly lower at equal viscosity, hence the lower end. The wide 2 cSt cut is 160 C open cup (SK SDS). Cut simulation (DWSIM characterisation + Le Chatelier flash, adipec_sim/dwsim_sim) gives 163-189 C closed cup for C21-C25 (C21-C26: 165-192). Measure ASTM D93</t>
        </is>
      </c>
    </row>
    <row r="67" spans="1:6" x14ac:dyDescent="0.25">
      <c r="A67" s="2"/>
      <c r="B67" s="82" t="s">
        <v>12</v>
      </c>
      <c r="C67" s="65" t="s">
        <v>114</v>
      </c>
      <c r="D67" s="96"/>
      <c r="E67" s="36">
        <v>195</v>
      </c>
      <c r="F67" s="21" t="inlineStr">
        <is>
          <t xml:space="preserve">ESTIMATE (medium): ~195-215 C: target open-cup flash ~175-195 C + ~20 C (paired fire/flash data of PAO and GTL fluids)</t>
        </is>
      </c>
    </row>
    <row r="68" spans="1:6" x14ac:dyDescent="0.25">
      <c r="A68" s="2"/>
      <c r="B68" s="83" t="s">
        <v>13</v>
      </c>
      <c r="C68" s="67" t="s">
        <v>115</v>
      </c>
      <c r="D68" s="99">
        <f>D88</f>
        <v>300</v>
      </c>
      <c r="E68" s="68">
        <v>260</v>
      </c>
      <c r="F68" s="21" t="inlineStr">
        <is>
          <t xml:space="preserve">ESTIMATE (LOW - safety-critical): entered at the published lower bound for the wide 2 cSt cut (&gt; 260 C, SK SDS). Narrow-cut isoparaffinic analogue Shell S5 X: 355 C (SDS &gt; 320 C); PAO 5 cSt 351 C. The 300 C gate is likely but NOT shown: measure ASTM E659</t>
        </is>
      </c>
    </row>
    <row r="69" spans="1:6" x14ac:dyDescent="0.25">
      <c r="A69" s="2"/>
      <c r="B69" s="83" t="s">
        <v>17</v>
      </c>
      <c r="C69" s="67" t="s">
        <v>116</v>
      </c>
      <c r="D69" s="100">
        <f>D89</f>
        <v>10</v>
      </c>
      <c r="E69" s="69">
        <v>1</v>
      </c>
      <c r="F69" s="21" t="inlineStr">
        <is>
          <t xml:space="preserve">ppm. Typical '&lt; 1 ppm' (ASTM D2622), Repsol GII-GIII TDS rev 3, Yubase 2</t>
        </is>
      </c>
    </row>
    <row r="70" spans="1:6" x14ac:dyDescent="0.25">
      <c r="A70" s="2"/>
      <c r="B70" s="83" t="s">
        <v>30</v>
      </c>
      <c r="C70" s="67" t="s">
        <v>117</v>
      </c>
      <c r="D70" s="101">
        <f>VLOOKUP(C9, FLUIDCATEGORY,2,FALSE)</f>
        <v>0.01</v>
      </c>
      <c r="E70" s="37">
        <v>0.02</v>
      </c>
      <c r="F70" s="21" t="inlineStr">
        <is>
          <t xml:space="preserve">ESTIMATE (medium): &lt;= 0.02 mg KOH/g new; fresh GTL 0.018 and mineral 0.027 (IEC 62021)</t>
        </is>
      </c>
    </row>
    <row r="71" spans="1:6" x14ac:dyDescent="0.25">
      <c r="A71" s="2"/>
      <c r="B71" s="82" t="s">
        <v>73</v>
      </c>
      <c r="C71" s="65" t="s">
        <v>74</v>
      </c>
      <c r="D71" s="96"/>
      <c r="E71" s="70" t="s">
        <v>27</v>
      </c>
      <c r="F71" s="21"/>
    </row>
    <row r="72" spans="1:6" x14ac:dyDescent="0.25">
      <c r="A72" s="2"/>
      <c r="B72" s="83" t="s">
        <v>15</v>
      </c>
      <c r="C72" s="67"/>
      <c r="D72" s="102" t="str">
        <f>D91</f>
        <v>≤ Slight</v>
      </c>
      <c r="E72" s="39" t="inlineStr">
        <is>
          <t xml:space="preserve">Characteristic, faint mineral oil (SDS)</t>
        </is>
      </c>
      <c r="F72" s="21"/>
    </row>
    <row r="73" spans="1:6" x14ac:dyDescent="0.25">
      <c r="A73" s="2"/>
      <c r="B73" s="82" t="s">
        <v>72</v>
      </c>
      <c r="C73" s="65" t="s">
        <v>119</v>
      </c>
      <c r="D73" s="66"/>
      <c r="E73" s="40" t="inlineStr">
        <is>
          <t xml:space="preserve">L0.5 (ASTM D1500)</t>
        </is>
      </c>
      <c r="F73" s="21" t="inlineStr">
        <is>
          <t xml:space="preserve">Repsol GII-GIII TDS rev 3, typical</t>
        </is>
      </c>
    </row>
    <row r="74" spans="1:6" x14ac:dyDescent="0.25">
      <c r="A74" s="2"/>
      <c r="B74" s="82" t="s">
        <v>76</v>
      </c>
      <c r="C74" s="65" t="s">
        <v>120</v>
      </c>
      <c r="D74" s="66"/>
      <c r="E74" s="40" t="inlineStr">
        <is>
          <t xml:space="preserve">Expected Asp. Tox. 1, H304 - confirm on supplier SDS</t>
        </is>
      </c>
      <c r="F74" s="21" t="inlineStr">
        <is>
          <t xml:space="preserve">GHS classifies hydrocarbons with KV40 &lt;= 20.5 mm2/s as aspiration hazard; KV40 here is 9.4</t>
        </is>
      </c>
    </row>
    <row r="75" spans="1:6" x14ac:dyDescent="0.25">
      <c r="A75" s="2"/>
      <c r="B75" s="82" t="s">
        <v>19</v>
      </c>
      <c r="C75" s="65"/>
      <c r="D75" s="66"/>
      <c r="E75" s="40" t="s">
        <v>75</v>
      </c>
      <c r="F75" s="21"/>
    </row>
    <row r="76" spans="1:6" x14ac:dyDescent="0.25">
      <c r="A76" s="2"/>
      <c r="B76" s="82" t="s">
        <v>20</v>
      </c>
      <c r="C76" s="65"/>
      <c r="D76" s="66"/>
      <c r="E76" s="40" t="s">
        <v>75</v>
      </c>
      <c r="F76" s="21"/>
    </row>
    <row r="77" spans="1:6" x14ac:dyDescent="0.25">
      <c r="A77" s="2"/>
      <c r="B77" s="82" t="s">
        <v>22</v>
      </c>
      <c r="C77" s="65" t="s">
        <v>121</v>
      </c>
      <c r="D77" s="66"/>
      <c r="E77" s="40" t="inlineStr">
        <is>
          <t xml:space="preserve">Inherently</t>
        </is>
      </c>
      <c r="F77" s="21" t="inlineStr">
        <is>
          <t xml:space="preserve">ESTIMATE (low): 'inherently' (20-60 % in 28 d) plausible; 'readily' not established for light Group III. Test OECD 301</t>
        </is>
      </c>
    </row>
    <row r="78" spans="1:6" x14ac:dyDescent="0.25">
      <c r="A78" s="2"/>
      <c r="B78" s="82" t="s">
        <v>78</v>
      </c>
      <c r="C78" s="65" t="s">
        <v>125</v>
      </c>
      <c r="D78" s="66"/>
      <c r="E78" s="40" t="inlineStr">
        <is>
          <t xml:space="preserve">Not in public data</t>
        </is>
      </c>
      <c r="F78" s="21" t="inlineStr">
        <is>
          <t xml:space="preserve">No public IEC 61125 C value for an uninhibited Group III; limits TAN &lt;= 1.2 mg KOH/g, sludge &lt;= 0.8 %</t>
        </is>
      </c>
    </row>
    <row r="79" spans="1:6" x14ac:dyDescent="0.25">
      <c r="A79" s="2"/>
      <c r="B79" s="82" t="s">
        <v>21</v>
      </c>
      <c r="C79" s="65" t="s">
        <v>126</v>
      </c>
      <c r="D79" s="66"/>
      <c r="E79" s="105" t="inlineStr">
        <is>
          <t xml:space="preserve">Negligible (no fluorinated content)</t>
        </is>
      </c>
      <c r="F79" s="21" t="inlineStr">
        <is>
          <t xml:space="preserve">No fluorinated content; not an IPCC-listed greenhouse gas. Declare as negligible, not measured</t>
        </is>
      </c>
    </row>
    <row r="80" spans="1:6" x14ac:dyDescent="0.25">
      <c r="A80" s="2"/>
      <c r="B80" s="82" t="s">
        <v>79</v>
      </c>
      <c r="C80" s="65"/>
      <c r="D80" s="66"/>
      <c r="E80" s="70" t="s">
        <v>27</v>
      </c>
      <c r="F80" s="21" t="inlineStr">
        <is>
          <t xml:space="preserve">Hydrocarbon, no halogens: no ozone depletion expected</t>
        </is>
      </c>
    </row>
    <row r="81" spans="1:6" ht="15.75" thickBot="1" x14ac:dyDescent="0.3">
      <c r="E81"/>
      <c r="F81"/>
    </row>
    <row r="82" spans="1:6" ht="15.75" thickBot="1" x14ac:dyDescent="0.3">
      <c r="A82" s="2"/>
      <c r="B82" s="78" t="s">
        <v>81</v>
      </c>
      <c r="C82" s="4"/>
      <c r="D82" s="6" t="s">
        <v>6</v>
      </c>
      <c r="E82" s="4" t="s">
        <v>26</v>
      </c>
      <c r="F82" s="44" t="s">
        <v>28</v>
      </c>
    </row>
    <row r="83" spans="1:6" x14ac:dyDescent="0.25">
      <c r="A83" s="2"/>
      <c r="B83" s="85" t="s">
        <v>64</v>
      </c>
      <c r="C83" s="56"/>
      <c r="D83" s="27" t="e">
        <f>#REF!&amp;#REF!</f>
        <v>#NAME?</v>
      </c>
      <c r="E83" s="25"/>
      <c r="F83" s="26"/>
    </row>
    <row r="84" spans="1:6" x14ac:dyDescent="0.25">
      <c r="A84" s="2"/>
      <c r="B84" s="86" t="s">
        <v>7</v>
      </c>
      <c r="C84" s="117"/>
      <c r="D84" s="28">
        <v>6</v>
      </c>
      <c r="E84" s="41" t="inlineStr">
        <is>
          <t xml:space="preserve">Unsure (elaborate)</t>
        </is>
      </c>
      <c r="F84" s="21" t="inlineStr">
        <is>
          <t xml:space="preserve">dielectric strength not in public data</t>
        </is>
      </c>
    </row>
    <row r="85" spans="1:6" x14ac:dyDescent="0.25">
      <c r="A85" s="2"/>
      <c r="B85" s="86" t="s">
        <v>131</v>
      </c>
      <c r="C85" s="114"/>
      <c r="D85" s="29">
        <v>2</v>
      </c>
      <c r="E85" s="38" t="inlineStr">
        <is>
          <t xml:space="preserve">Yes</t>
        </is>
      </c>
      <c r="F85" s="21" t="inlineStr">
        <is>
          <t xml:space="preserve">12,400 GOhm.m at 25 C, new fluid (CRC Table 9) vs &gt;= 2 GOhm.m</t>
        </is>
      </c>
    </row>
    <row r="86" spans="1:6" x14ac:dyDescent="0.25">
      <c r="A86" s="2"/>
      <c r="B86" s="86" t="s">
        <v>132</v>
      </c>
      <c r="C86" s="114"/>
      <c r="D86" s="29">
        <v>0.2</v>
      </c>
      <c r="E86" s="38" t="inlineStr">
        <is>
          <t xml:space="preserve">Unsure (elaborate)</t>
        </is>
      </c>
      <c r="F86" s="21" t="inlineStr">
        <is>
          <t xml:space="preserve">lifetime resistivity needs ageing data</t>
        </is>
      </c>
    </row>
    <row r="87" spans="1:6" x14ac:dyDescent="0.25">
      <c r="A87" s="2"/>
      <c r="B87" s="86" t="s">
        <v>8</v>
      </c>
      <c r="C87" s="114"/>
      <c r="D87" s="30">
        <v>150</v>
      </c>
      <c r="E87" s="38" t="inlineStr">
        <is>
          <t xml:space="preserve">Unsure (elaborate)</t>
        </is>
      </c>
      <c r="F87" s="21" t="inlineStr">
        <is>
          <t xml:space="preserve">closed cup estimated 163-189 C for the target narrow cut C21-C25; must be measured (ASTM D93)</t>
        </is>
      </c>
    </row>
    <row r="88" spans="1:6" x14ac:dyDescent="0.25">
      <c r="A88" s="2"/>
      <c r="B88" s="86" t="s">
        <v>9</v>
      </c>
      <c r="C88" s="114"/>
      <c r="D88" s="30">
        <v>300</v>
      </c>
      <c r="E88" s="38" t="inlineStr">
        <is>
          <t xml:space="preserve">Unsure (elaborate)</t>
        </is>
      </c>
      <c r="F88" s="21" t="inlineStr">
        <is>
          <t xml:space="preserve">autoignition not measured</t>
        </is>
      </c>
    </row>
    <row r="89" spans="1:6" x14ac:dyDescent="0.25">
      <c r="A89" s="2"/>
      <c r="B89" s="86" t="s">
        <v>11</v>
      </c>
      <c r="C89" s="114"/>
      <c r="D89" s="31">
        <v>10</v>
      </c>
      <c r="E89" s="38" t="inlineStr">
        <is>
          <t xml:space="preserve">Yes</t>
        </is>
      </c>
      <c r="F89" s="21" t="inlineStr">
        <is>
          <t xml:space="preserve">&lt; 1 ppm new fluid (TDS) vs &lt;= 10 ppm</t>
        </is>
      </c>
    </row>
    <row r="90" spans="1:6" x14ac:dyDescent="0.25">
      <c r="A90" s="2"/>
      <c r="B90" s="115" t="s">
        <v>30</v>
      </c>
      <c r="C90" s="118"/>
      <c r="D90" s="109">
        <f>VLOOKUP(C9, FLUIDCATEGORY,2,FALSE)</f>
        <v>0.01</v>
      </c>
      <c r="E90" s="38" t="inlineStr">
        <is>
          <t xml:space="preserve">Unsure (elaborate)</t>
        </is>
      </c>
      <c r="F90" s="21" t="inlineStr">
        <is>
          <t xml:space="preserve">acidity not measured</t>
        </is>
      </c>
    </row>
    <row r="91" spans="1:6" ht="15.75" thickBot="1" x14ac:dyDescent="0.3">
      <c r="A91" s="2"/>
      <c r="B91" s="116" t="s">
        <v>10</v>
      </c>
      <c r="C91" s="119"/>
      <c r="D91" s="110" t="s">
        <v>29</v>
      </c>
      <c r="E91" s="111" t="inlineStr">
        <is>
          <t xml:space="preserve">Unsure (elaborate)</t>
        </is>
      </c>
      <c r="F91" s="22" t="inlineStr">
        <is>
          <t xml:space="preserve">odour not stated</t>
        </is>
      </c>
    </row>
    <row r="92" spans="1:6" x14ac:dyDescent="0.25">
      <c r="B92" s="57"/>
      <c r="C92" s="57"/>
      <c r="D92" s="3"/>
      <c r="E92" s="19"/>
      <c r="F92" s="23"/>
    </row>
  </sheetData>
  <mergeCells count="16">
    <mergeCell ref="B58:B63"/>
    <mergeCell ref="C58:C63"/>
    <mergeCell ref="B24:B27"/>
    <mergeCell ref="B20:B23"/>
    <mergeCell ref="C20:C23"/>
    <mergeCell ref="C24:C27"/>
    <mergeCell ref="B28:B33"/>
    <mergeCell ref="C28:C33"/>
    <mergeCell ref="B34:B39"/>
    <mergeCell ref="C34:C39"/>
    <mergeCell ref="B40:B45"/>
    <mergeCell ref="C40:C45"/>
    <mergeCell ref="B46:B51"/>
    <mergeCell ref="C46:C51"/>
    <mergeCell ref="B52:B57"/>
    <mergeCell ref="C52:C57"/>
  </mergeCells>
  <conditionalFormatting sqref="E13">
    <cfRule type="containsText" dxfId="36" priority="123" operator="containsText" text="&quot;0&quot;">
      <formula>NOT(ISERROR(SEARCH("""0""",E13)))</formula>
    </cfRule>
  </conditionalFormatting>
  <conditionalFormatting sqref="E13:E16 E18:E70 E72:E79">
    <cfRule type="cellIs" dxfId="35" priority="4" operator="equal">
      <formula>0</formula>
    </cfRule>
  </conditionalFormatting>
  <conditionalFormatting sqref="E13:E16">
    <cfRule type="containsText" dxfId="34" priority="2" operator="containsText" text="FIRST">
      <formula>NOT(ISERROR(SEARCH("FIRST",E13)))</formula>
    </cfRule>
    <cfRule type="cellIs" dxfId="33" priority="6" operator="greaterThan">
      <formula>0</formula>
    </cfRule>
  </conditionalFormatting>
  <conditionalFormatting sqref="E18:E19">
    <cfRule type="cellIs" dxfId="32" priority="122" operator="lessThan">
      <formula>$D$84</formula>
    </cfRule>
    <cfRule type="cellIs" dxfId="31" priority="65" operator="greaterThanOrEqual">
      <formula>$D$84</formula>
    </cfRule>
  </conditionalFormatting>
  <conditionalFormatting sqref="E66">
    <cfRule type="cellIs" dxfId="30" priority="66" operator="lessThan">
      <formula>$D$87</formula>
    </cfRule>
    <cfRule type="cellIs" dxfId="29" priority="62" operator="greaterThanOrEqual">
      <formula>$D$87</formula>
    </cfRule>
  </conditionalFormatting>
  <conditionalFormatting sqref="E67">
    <cfRule type="cellIs" dxfId="28" priority="60" operator="lessThanOrEqual">
      <formula>$D$87</formula>
    </cfRule>
    <cfRule type="cellIs" dxfId="27" priority="57" operator="greaterThan">
      <formula>$D$87</formula>
    </cfRule>
  </conditionalFormatting>
  <conditionalFormatting sqref="E68">
    <cfRule type="cellIs" dxfId="26" priority="59" operator="greaterThanOrEqual">
      <formula>$D$88</formula>
    </cfRule>
    <cfRule type="cellIs" dxfId="25" priority="63" operator="lessThan">
      <formula>$D$88</formula>
    </cfRule>
  </conditionalFormatting>
  <conditionalFormatting sqref="E69">
    <cfRule type="cellIs" dxfId="24" priority="58" operator="greaterThanOrEqual">
      <formula>$D$89</formula>
    </cfRule>
    <cfRule type="cellIs" dxfId="23" priority="55" operator="lessThan">
      <formula>$D$89</formula>
    </cfRule>
  </conditionalFormatting>
  <conditionalFormatting sqref="E70">
    <cfRule type="cellIs" dxfId="22" priority="46" operator="lessThanOrEqual">
      <formula>$D$90</formula>
    </cfRule>
    <cfRule type="cellIs" dxfId="21" priority="56" operator="greaterThan">
      <formula>$D$90</formula>
    </cfRule>
  </conditionalFormatting>
  <conditionalFormatting sqref="E72:E76">
    <cfRule type="containsText" dxfId="19" priority="41" operator="containsText" text="spec">
      <formula>NOT(ISERROR(SEARCH("spec",E72)))</formula>
    </cfRule>
    <cfRule type="notContainsText" dxfId="18" priority="124" operator="notContains" text="spec">
      <formula>ISERROR(SEARCH("spec",E72))</formula>
    </cfRule>
    <cfRule type="containsBlanks" dxfId="17" priority="52">
      <formula>LEN(TRIM(E72))=0</formula>
    </cfRule>
  </conditionalFormatting>
  <conditionalFormatting sqref="E78:E79">
    <cfRule type="notContainsText" dxfId="14" priority="33" operator="notContains" text="spec">
      <formula>ISERROR(SEARCH("spec",E78))</formula>
    </cfRule>
    <cfRule type="containsBlanks" dxfId="13" priority="32">
      <formula>LEN(TRIM(E78))=0</formula>
    </cfRule>
    <cfRule type="containsText" dxfId="11" priority="30" operator="containsText" text="spec">
      <formula>NOT(ISERROR(SEARCH("spec",E78)))</formula>
    </cfRule>
  </conditionalFormatting>
  <conditionalFormatting sqref="E79 E20:E65">
    <cfRule type="cellIs" dxfId="10" priority="45" operator="greaterThan">
      <formula>0</formula>
    </cfRule>
  </conditionalFormatting>
  <conditionalFormatting sqref="E79">
    <cfRule type="containsText" dxfId="9" priority="20" operator="containsText" text="spec">
      <formula>NOT(ISERROR(SEARCH("spec",E79)))</formula>
    </cfRule>
    <cfRule type="containsBlanks" dxfId="8" priority="21">
      <formula>LEN(TRIM(E79))=0</formula>
    </cfRule>
    <cfRule type="notContainsText" dxfId="7" priority="25" operator="notContains" text="spec">
      <formula>ISERROR(SEARCH("spec",E79))</formula>
    </cfRule>
    <cfRule type="containsBlanks" dxfId="6" priority="24">
      <formula>LEN(TRIM(E79))=0</formula>
    </cfRule>
    <cfRule type="containsText" dxfId="5" priority="23" operator="containsText" text="spec">
      <formula>NOT(ISERROR(SEARCH("spec",E79)))</formula>
    </cfRule>
    <cfRule type="notContainsText" dxfId="4" priority="22" operator="notContains" text="spec">
      <formula>ISERROR(SEARCH("spec",E79))</formula>
    </cfRule>
  </conditionalFormatting>
  <pageMargins left="0.7" right="0.7" top="0.75" bottom="0.75" header="0" footer="0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5020499-B1B3-45A2-8E13-C5757FEDB7BB}">
            <xm:f>Fields!$E$8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C9</xm:sqref>
        </x14:conditionalFormatting>
        <x14:conditionalFormatting xmlns:xm="http://schemas.microsoft.com/office/excel/2006/main">
          <x14:cfRule type="containsText" priority="192" operator="containsText" id="{BAE5CA1A-796A-4133-A34A-FDD51944DE31}">
            <xm:f>NOT(ISERROR(SEARCH(Fields!$B$4,E13)))</xm:f>
            <xm:f>Fields!$B$4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3" operator="containsText" id="{A00B1413-944B-4C56-ABC7-5CBCAE6BFFA9}">
            <xm:f>NOT(ISERROR(SEARCH(Fields!$B$3,E13)))</xm:f>
            <xm:f>Fields!$B$3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1" operator="containsText" id="{193F4E72-85D1-4C24-907C-687BEB48A230}">
            <xm:f>NOT(ISERROR(SEARCH(Fields!$B$6,E13)))</xm:f>
            <xm:f>Fields!$B$6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E13 E71 E80</xm:sqref>
        </x14:conditionalFormatting>
        <x14:conditionalFormatting xmlns:xm="http://schemas.microsoft.com/office/excel/2006/main">
          <x14:cfRule type="cellIs" priority="42" operator="equal" id="{6F383D9D-4460-445B-9DD5-CD0BF4F66746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E71:E73</xm:sqref>
        </x14:conditionalFormatting>
        <x14:conditionalFormatting xmlns:xm="http://schemas.microsoft.com/office/excel/2006/main">
          <x14:cfRule type="cellIs" priority="15" operator="notEqual" id="{352BA8EF-8A74-4EF1-BD0F-55A6DE652D1B}">
            <xm:f>Fields!$L$6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6" operator="equal" id="{FD47CFFF-CC1C-4254-8184-6DAB1E6E3A1F}">
            <xm:f>Fields!$L$6</xm:f>
            <x14:dxf>
              <font>
                <color rgb="FF9C5700"/>
              </font>
              <fill>
                <patternFill>
                  <bgColor theme="7" tint="0.59996337778862885"/>
                </patternFill>
              </fill>
            </x14:dxf>
          </x14:cfRule>
          <xm:sqref>E77</xm:sqref>
        </x14:conditionalFormatting>
        <x14:conditionalFormatting xmlns:xm="http://schemas.microsoft.com/office/excel/2006/main">
          <x14:cfRule type="cellIs" priority="31" operator="equal" id="{492679F0-AA65-43A4-8F9C-C4AC2A70D3F0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E78:E79</xm:sqref>
        </x14:conditionalFormatting>
        <x14:conditionalFormatting xmlns:xm="http://schemas.microsoft.com/office/excel/2006/main">
          <x14:cfRule type="cellIs" priority="139" operator="equal" id="{DCCA7BD7-BE53-4896-9C29-F1DF0619374E}">
            <xm:f>Fields!$B$6</xm:f>
            <x14:dxf>
              <font>
                <color rgb="FF9C57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140" operator="equal" id="{2622DFD4-C6EA-47DD-B45C-0E34124E5F79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41" operator="equal" id="{AA4178A5-4F9D-46BE-86E7-43B7CAC22693}">
            <xm:f>Fields!$B$4</xm:f>
            <x14:dxf>
              <font>
                <color rgb="FF9C0006"/>
              </font>
              <fill>
                <patternFill>
                  <bgColor rgb="FFFF5050"/>
                </patternFill>
              </fill>
            </x14:dxf>
          </x14:cfRule>
          <x14:cfRule type="cellIs" priority="142" operator="equal" id="{A5470AAE-655D-4395-905A-6E7E5B5E9E40}">
            <xm:f>Fields!$B$3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E84:E91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785" yWindow="346" count="3">
        <x14:dataValidation type="list" allowBlank="1" showInputMessage="1" showErrorMessage="1" xr:uid="{E9B7D939-3560-4F85-8D10-441B25881787}">
          <x14:formula1>
            <xm:f>Fields!$E$3:$E$8</xm:f>
          </x14:formula1>
          <xm:sqref>C9:C10</xm:sqref>
        </x14:dataValidation>
        <x14:dataValidation type="list" allowBlank="1" showInputMessage="1" showErrorMessage="1" xr:uid="{5AF0B435-7C7E-403E-9230-9D3B620519E5}">
          <x14:formula1>
            <xm:f>Fields!$L$3:$L$6</xm:f>
          </x14:formula1>
          <xm:sqref>E77</xm:sqref>
        </x14:dataValidation>
        <x14:dataValidation type="list" allowBlank="1" showInputMessage="1" showErrorMessage="1" xr:uid="{F0F876E2-A5D9-4D3A-B480-E7FC320FFA4D}">
          <x14:formula1>
            <xm:f>Fields!$B$3:$B$7</xm:f>
          </x14:formula1>
          <xm:sqref>E84:E91 E80 E71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5B38-1DAC-4EC1-88AF-E4F91E30687B}">
  <dimension ref="B1:J56"/>
  <sheetViews>
    <sheetView zoomScale="130" zoomScaleNormal="130" workbookViewId="0"/>
  </sheetViews>
  <sheetFormatPr defaultRowHeight="15" x14ac:dyDescent="0.25"/>
  <cols>
    <col min="2" max="2" width="41.42578125" customWidth="1"/>
    <col min="3" max="3" width="34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18.140625" bestFit="1" customWidth="1"/>
    <col min="8" max="8" width="20.7109375" bestFit="1" customWidth="1"/>
    <col min="9" max="9" width="24" bestFit="1" customWidth="1"/>
    <col min="10" max="10" width="23.85546875" customWidth="1"/>
    <col min="11" max="11" width="19" customWidth="1"/>
    <col min="13" max="13" width="12.5703125" bestFit="1" customWidth="1"/>
  </cols>
  <sheetData>
    <row r="1" spans="2:4" ht="15.75" thickBot="1" x14ac:dyDescent="0.3">
      <c r="B1" s="165" t="s">
        <v>181</v>
      </c>
      <c r="C1" s="166"/>
    </row>
    <row r="4" spans="2:4" x14ac:dyDescent="0.25">
      <c r="B4" s="120" t="s">
        <v>163</v>
      </c>
      <c r="C4" s="120" t="s">
        <v>148</v>
      </c>
      <c r="D4" s="120" t="s">
        <v>149</v>
      </c>
    </row>
    <row r="5" spans="2:4" x14ac:dyDescent="0.25">
      <c r="B5" s="120" t="s">
        <v>164</v>
      </c>
      <c r="C5" s="159" t="s">
        <v>165</v>
      </c>
      <c r="D5" s="136" t="str">
        <f>'Specification sheet'!C9</f>
        <v>Hydrocarbons</v>
      </c>
    </row>
    <row r="6" spans="2:4" x14ac:dyDescent="0.25">
      <c r="B6" t="str">
        <f>'Specification sheet'!B18</f>
        <v>Dielectric strength, measured at 1 mm</v>
      </c>
      <c r="C6" s="128" t="str">
        <f>'Specification sheet'!C18</f>
        <v>ASTM D 1816</v>
      </c>
      <c r="D6" s="129">
        <f>'Specification sheet'!E18</f>
        <v>10</v>
      </c>
    </row>
    <row r="7" spans="2:4" x14ac:dyDescent="0.25">
      <c r="B7" t="str">
        <f>'Specification sheet'!B19</f>
        <v>Volume resistivity</v>
      </c>
      <c r="C7" s="128" t="str">
        <f>'Specification sheet'!C19</f>
        <v>ASTM D1169</v>
      </c>
      <c r="D7" s="130">
        <f>'Specification sheet'!E19</f>
        <v>12400</v>
      </c>
    </row>
    <row r="8" spans="2:4" x14ac:dyDescent="0.25">
      <c r="B8" t="str">
        <f>'Specification sheet'!B64</f>
        <v>Volumetric expansion</v>
      </c>
      <c r="C8" s="128" t="str">
        <f>'Specification sheet'!C64</f>
        <v>ASTM D 1903</v>
      </c>
      <c r="D8" s="131">
        <f>'Specification sheet'!E64</f>
        <v>0.000787</v>
      </c>
    </row>
    <row r="9" spans="2:4" x14ac:dyDescent="0.25">
      <c r="B9" t="str">
        <f>'Specification sheet'!B65</f>
        <v>Pour point</v>
      </c>
      <c r="C9" s="128" t="str">
        <f>'Specification sheet'!C65</f>
        <v>ASTM D 97 / ISO 3016</v>
      </c>
      <c r="D9" s="132">
        <f>'Specification sheet'!E65</f>
        <v>-42</v>
      </c>
    </row>
    <row r="10" spans="2:4" x14ac:dyDescent="0.25">
      <c r="B10" t="str">
        <f>'Specification sheet'!B66</f>
        <v>Flash point (Cleveland Closed Cup)</v>
      </c>
      <c r="C10" s="128" t="str">
        <f>'Specification sheet'!C66</f>
        <v>ASTM D 93 / ISO 2719</v>
      </c>
      <c r="D10" s="132">
        <f>'Specification sheet'!E66</f>
        <v>163</v>
      </c>
    </row>
    <row r="11" spans="2:4" x14ac:dyDescent="0.25">
      <c r="B11" t="str">
        <f>'Specification sheet'!B67</f>
        <v>Fire point</v>
      </c>
      <c r="C11" s="128" t="str">
        <f>'Specification sheet'!C67</f>
        <v>ASTM D 92  / 2592</v>
      </c>
      <c r="D11" s="132">
        <f>'Specification sheet'!E67</f>
        <v>195</v>
      </c>
    </row>
    <row r="12" spans="2:4" x14ac:dyDescent="0.25">
      <c r="B12" t="str">
        <f>'Specification sheet'!B68</f>
        <v>Auto ignition point</v>
      </c>
      <c r="C12" s="128" t="str">
        <f>'Specification sheet'!C68</f>
        <v>DIN 51794/ ASTM E659</v>
      </c>
      <c r="D12" s="132">
        <f>'Specification sheet'!E68</f>
        <v>260</v>
      </c>
    </row>
    <row r="13" spans="2:4" x14ac:dyDescent="0.25">
      <c r="B13" t="str">
        <f>'Specification sheet'!B69</f>
        <v>Sulphur content</v>
      </c>
      <c r="C13" s="128" t="str">
        <f>'Specification sheet'!C69</f>
        <v>ISO 14596</v>
      </c>
      <c r="D13" s="133">
        <f>'Specification sheet'!E69</f>
        <v>1</v>
      </c>
    </row>
    <row r="14" spans="2:4" x14ac:dyDescent="0.25">
      <c r="B14" t="str">
        <f>'Specification sheet'!B70</f>
        <v>Acidity</v>
      </c>
      <c r="C14" s="128" t="str">
        <f>'Specification sheet'!C70</f>
        <v>IEC 62021-2 / IEC 62021-1</v>
      </c>
      <c r="D14" s="134">
        <f>'Specification sheet'!E70</f>
        <v>0.02</v>
      </c>
    </row>
    <row r="15" spans="2:4" x14ac:dyDescent="0.25">
      <c r="B15" t="str">
        <f>'Specification sheet'!B71</f>
        <v>NFS Nonfood Compounds Certification</v>
      </c>
      <c r="C15" s="128" t="str">
        <f>'Specification sheet'!C71</f>
        <v>NFS certificate</v>
      </c>
      <c r="D15" s="135" t="str">
        <f>'Specification sheet'!E71</f>
        <v>(Select from list)</v>
      </c>
    </row>
    <row r="16" spans="2:4" x14ac:dyDescent="0.25">
      <c r="B16" t="str">
        <f>'Specification sheet'!B72</f>
        <v>Odor</v>
      </c>
      <c r="C16" s="128"/>
      <c r="D16" s="136" t="str">
        <f>'Specification sheet'!E72</f>
        <v>Characteristic, faint mineral oil (SDS)</v>
      </c>
    </row>
    <row r="17" spans="2:10" x14ac:dyDescent="0.25">
      <c r="B17" t="str">
        <f>'Specification sheet'!B73</f>
        <v>Color</v>
      </c>
      <c r="C17" s="128" t="str">
        <f>'Specification sheet'!C73</f>
        <v>ASTM D 156 / ISO 2211</v>
      </c>
      <c r="D17" s="136" t="str">
        <f>'Specification sheet'!E73</f>
        <v>L0.5 (ASTM D1500)</v>
      </c>
    </row>
    <row r="18" spans="2:10" x14ac:dyDescent="0.25">
      <c r="B18" t="str">
        <f>'Specification sheet'!B74</f>
        <v>Hazard statements, GHS Classification</v>
      </c>
      <c r="C18" s="128" t="str">
        <f>'Specification sheet'!C74</f>
        <v>GHS Classification</v>
      </c>
      <c r="D18" s="136" t="str">
        <f>'Specification sheet'!E74</f>
        <v>Expected Asp. Tox. 1, H304 - confirm on supplier SDS</v>
      </c>
    </row>
    <row r="19" spans="2:10" x14ac:dyDescent="0.25">
      <c r="B19" t="str">
        <f>'Specification sheet'!B75</f>
        <v>STOT - single exposure</v>
      </c>
      <c r="C19" s="128"/>
      <c r="D19" s="136" t="str">
        <f>'Specification sheet'!E75</f>
        <v>{SDS spec}</v>
      </c>
    </row>
    <row r="20" spans="2:10" x14ac:dyDescent="0.25">
      <c r="B20" t="str">
        <f>'Specification sheet'!B76</f>
        <v>STOT - repeated exposure</v>
      </c>
      <c r="C20" s="128"/>
      <c r="D20" s="136" t="str">
        <f>'Specification sheet'!E76</f>
        <v>{SDS spec}</v>
      </c>
    </row>
    <row r="21" spans="2:10" x14ac:dyDescent="0.25">
      <c r="B21" t="str">
        <f>'Specification sheet'!B77</f>
        <v>Biodegradability</v>
      </c>
      <c r="C21" s="128" t="str">
        <f>'Specification sheet'!C77</f>
        <v>OECD 301</v>
      </c>
      <c r="D21" s="136" t="str">
        <f>'Specification sheet'!E77</f>
        <v>Inherently</v>
      </c>
    </row>
    <row r="22" spans="2:10" x14ac:dyDescent="0.25">
      <c r="B22" t="str">
        <f>'Specification sheet'!B78</f>
        <v>Oxidation Stability</v>
      </c>
      <c r="C22" s="128" t="str">
        <f>'Specification sheet'!C78</f>
        <v>IEC 61125</v>
      </c>
      <c r="D22" s="136" t="str">
        <f>'Specification sheet'!E78</f>
        <v>Not in public data</v>
      </c>
    </row>
    <row r="23" spans="2:10" x14ac:dyDescent="0.25">
      <c r="B23" t="str">
        <f>'Specification sheet'!B79</f>
        <v>Global warming potential (GWP)</v>
      </c>
      <c r="C23" s="128" t="str">
        <f>'Specification sheet'!C79</f>
        <v>IPCC 2007</v>
      </c>
      <c r="D23" s="137" t="str">
        <f>'Specification sheet'!E79</f>
        <v>Negligible (no fluorinated content)</v>
      </c>
    </row>
    <row r="24" spans="2:10" x14ac:dyDescent="0.25">
      <c r="B24" t="str">
        <f>'Specification sheet'!B80</f>
        <v>Ozone Depletion Potential</v>
      </c>
      <c r="C24" s="128"/>
      <c r="D24" s="135" t="str">
        <f>'Specification sheet'!E80</f>
        <v>(Select from list)</v>
      </c>
    </row>
    <row r="26" spans="2:10" ht="26.25" x14ac:dyDescent="0.25">
      <c r="B26" s="162" t="s">
        <v>158</v>
      </c>
      <c r="C26" s="164" t="s">
        <v>174</v>
      </c>
      <c r="D26" s="164" t="s">
        <v>173</v>
      </c>
      <c r="E26" s="164" t="s">
        <v>172</v>
      </c>
      <c r="F26" s="164" t="s">
        <v>171</v>
      </c>
      <c r="G26" s="164" t="s">
        <v>170</v>
      </c>
      <c r="H26" s="164" t="s">
        <v>175</v>
      </c>
      <c r="I26" s="164" t="s">
        <v>176</v>
      </c>
      <c r="J26" s="164" t="s">
        <v>169</v>
      </c>
    </row>
    <row r="27" spans="2:10" x14ac:dyDescent="0.25">
      <c r="B27" s="144">
        <f>IF('Specification sheet'!C$9=Fields!E$6,IF('Specification sheet'!E$13&gt;Fields!B19,Fields!B19,Fields!$B$9),Fields!B19)</f>
        <v>20</v>
      </c>
      <c r="C27" s="152">
        <f>IF(Table_Fluidprop_10C[[#This Row],[Fluid physical properties]]=Fields!$B$9,"",'Specification sheet'!E28)</f>
        <v>53</v>
      </c>
      <c r="D27" s="153">
        <f>IF(Table_Fluidprop_10C[[#This Row],[Fluid physical properties]]=Fields!$B$9,"",'Specification sheet'!E34)</f>
        <v>832.2</v>
      </c>
      <c r="E27" s="154">
        <f>IF(Table_Fluidprop_10C[[#This Row],[Fluid physical properties]]=Fields!$B$9,"",'Specification sheet'!E40)</f>
        <v>1746</v>
      </c>
      <c r="F27" s="155">
        <f>IF(Table_Fluidprop_10C[[#This Row],[Fluid physical properties]]=Fields!$B$9,"",'Specification sheet'!E46)</f>
        <v>0.1288</v>
      </c>
      <c r="G27" s="156">
        <f>IF(Table_Fluidprop_10C[[#This Row],[Fluid physical properties]]=Fields!$B$9,"",'Specification sheet'!E52)</f>
        <v>19.14</v>
      </c>
      <c r="H27" s="157">
        <f>IF(Table_Fluidprop_10C[[#This Row],[Fluid physical properties]]=Fields!$B$9,"",G27*D27/1000)</f>
        <v>15.928308</v>
      </c>
      <c r="I27" s="157">
        <f>IF(Table_Fluidprop_10C[[#This Row],[Fluid physical properties]]=Fields!$B$9,"",Table_Fluidprop_10C[[#This Row],[Dynamic viscosity (cp)
(calculated)]]/1000)</f>
        <v>0.015928308</v>
      </c>
      <c r="J27" s="158">
        <f>IF(Table_Fluidprop_10C[[#This Row],[Fluid physical properties]]=Fields!$B$9,"",'Specification sheet'!E58)</f>
        <v>2e-06</v>
      </c>
    </row>
    <row r="28" spans="2:10" x14ac:dyDescent="0.25">
      <c r="B28" s="144">
        <f>IF('Specification sheet'!C$9=Fields!E$6,IF('Specification sheet'!E$13&gt;Fields!B20,Fields!B20,Fields!$B$9),Fields!B20)</f>
        <v>30</v>
      </c>
      <c r="C28" s="152">
        <f>IF(Table_Fluidprop_10C[[#This Row],[Fluid physical properties]]=Fields!$B$9,"",'Specification sheet'!E29)</f>
        <v>82</v>
      </c>
      <c r="D28" s="153">
        <f>IF(Table_Fluidprop_10C[[#This Row],[Fluid physical properties]]=Fields!$B$9,"",'Specification sheet'!E35)</f>
        <v>825.7</v>
      </c>
      <c r="E28" s="154">
        <f>IF(Table_Fluidprop_10C[[#This Row],[Fluid physical properties]]=Fields!$B$9,"",'Specification sheet'!E41)</f>
        <v>1774</v>
      </c>
      <c r="F28" s="155">
        <f>IF(Table_Fluidprop_10C[[#This Row],[Fluid physical properties]]=Fields!$B$9,"",'Specification sheet'!E47)</f>
        <v>0.1276</v>
      </c>
      <c r="G28" s="156">
        <f>IF(Table_Fluidprop_10C[[#This Row],[Fluid physical properties]]=Fields!$B$9,"",'Specification sheet'!E53)</f>
        <v>13.1</v>
      </c>
      <c r="H28" s="157">
        <f>IF(Table_Fluidprop_10C[[#This Row],[Fluid physical properties]]=Fields!$B$9,"",G28*D28/1000)</f>
        <v>10.81667</v>
      </c>
      <c r="I28" s="157">
        <f>IF(Table_Fluidprop_10C[[#This Row],[Fluid physical properties]]=Fields!$B$9,"",Table_Fluidprop_10C[[#This Row],[Dynamic viscosity (cp)
(calculated)]]/1000)</f>
        <v>0.01081667</v>
      </c>
      <c r="J28" s="158">
        <f>IF(Table_Fluidprop_10C[[#This Row],[Fluid physical properties]]=Fields!$B$9,"",'Specification sheet'!E59)</f>
        <v>6e-06</v>
      </c>
    </row>
    <row r="29" spans="2:10" x14ac:dyDescent="0.25">
      <c r="B29" s="144">
        <f>IF('Specification sheet'!C$9=Fields!E$6,IF('Specification sheet'!E$13&gt;Fields!B21,Fields!B21,Fields!$B$9),Fields!B21)</f>
        <v>40</v>
      </c>
      <c r="C29" s="152">
        <f>IF(Table_Fluidprop_10C[[#This Row],[Fluid physical properties]]=Fields!$B$9,"",'Specification sheet'!E30)</f>
        <v>122</v>
      </c>
      <c r="D29" s="153">
        <f>IF(Table_Fluidprop_10C[[#This Row],[Fluid physical properties]]=Fields!$B$9,"",'Specification sheet'!E36)</f>
        <v>819.2</v>
      </c>
      <c r="E29" s="154">
        <f>IF(Table_Fluidprop_10C[[#This Row],[Fluid physical properties]]=Fields!$B$9,"",'Specification sheet'!E42)</f>
        <v>1802</v>
      </c>
      <c r="F29" s="155">
        <f>IF(Table_Fluidprop_10C[[#This Row],[Fluid physical properties]]=Fields!$B$9,"",'Specification sheet'!E48)</f>
        <v>0.1264</v>
      </c>
      <c r="G29" s="156">
        <f>IF(Table_Fluidprop_10C[[#This Row],[Fluid physical properties]]=Fields!$B$9,"",'Specification sheet'!E54)</f>
        <v>9.43</v>
      </c>
      <c r="H29" s="157">
        <f>IF(Table_Fluidprop_10C[[#This Row],[Fluid physical properties]]=Fields!$B$9,"",G29*D29/1000)</f>
        <v>7.725056</v>
      </c>
      <c r="I29" s="157">
        <f>IF(Table_Fluidprop_10C[[#This Row],[Fluid physical properties]]=Fields!$B$9,"",Table_Fluidprop_10C[[#This Row],[Dynamic viscosity (cp)
(calculated)]]/1000)</f>
        <v>0.007725056</v>
      </c>
      <c r="J29" s="158">
        <f>IF(Table_Fluidprop_10C[[#This Row],[Fluid physical properties]]=Fields!$B$9,"",'Specification sheet'!E60)</f>
        <v>2e-05</v>
      </c>
    </row>
    <row r="30" spans="2:10" x14ac:dyDescent="0.25">
      <c r="B30" s="144">
        <f>IF('Specification sheet'!C$9=Fields!E$6,IF('Specification sheet'!E$13&gt;Fields!B22,Fields!B22,Fields!$B$9),Fields!B22)</f>
        <v>50</v>
      </c>
      <c r="C30" s="152">
        <f>IF(Table_Fluidprop_10C[[#This Row],[Fluid physical properties]]=Fields!$B$9,"",'Specification sheet'!E31)</f>
        <v>179</v>
      </c>
      <c r="D30" s="153">
        <f>IF(Table_Fluidprop_10C[[#This Row],[Fluid physical properties]]=Fields!$B$9,"",'Specification sheet'!E37)</f>
        <v>812.7</v>
      </c>
      <c r="E30" s="154">
        <f>IF(Table_Fluidprop_10C[[#This Row],[Fluid physical properties]]=Fields!$B$9,"",'Specification sheet'!E43)</f>
        <v>1833</v>
      </c>
      <c r="F30" s="155">
        <f>IF(Table_Fluidprop_10C[[#This Row],[Fluid physical properties]]=Fields!$B$9,"",'Specification sheet'!E49)</f>
        <v>0.1252</v>
      </c>
      <c r="G30" s="156">
        <f>IF(Table_Fluidprop_10C[[#This Row],[Fluid physical properties]]=Fields!$B$9,"",'Specification sheet'!E55)</f>
        <v>7.08</v>
      </c>
      <c r="H30" s="157">
        <f>IF(Table_Fluidprop_10C[[#This Row],[Fluid physical properties]]=Fields!$B$9,"",G30*D30/1000)</f>
        <v>5.753916</v>
      </c>
      <c r="I30" s="157">
        <f>IF(Table_Fluidprop_10C[[#This Row],[Fluid physical properties]]=Fields!$B$9,"",Table_Fluidprop_10C[[#This Row],[Dynamic viscosity (cp)
(calculated)]]/1000)</f>
        <v>0.005753916</v>
      </c>
      <c r="J30" s="158">
        <f>IF(Table_Fluidprop_10C[[#This Row],[Fluid physical properties]]=Fields!$B$9,"",'Specification sheet'!E61)</f>
        <v>5e-05</v>
      </c>
    </row>
    <row r="31" spans="2:10" x14ac:dyDescent="0.25">
      <c r="B31" s="144">
        <f>IF('Specification sheet'!C$9=Fields!E$6,IF('Specification sheet'!E$13&gt;Fields!B23,Fields!B23,Fields!$B$9),Fields!B23)</f>
        <v>60</v>
      </c>
      <c r="C31" s="152">
        <f>IF(Table_Fluidprop_10C[[#This Row],[Fluid physical properties]]=Fields!$B$9,"",'Specification sheet'!E32)</f>
        <v>255</v>
      </c>
      <c r="D31" s="153">
        <f>IF(Table_Fluidprop_10C[[#This Row],[Fluid physical properties]]=Fields!$B$9,"",'Specification sheet'!E38)</f>
        <v>806.1</v>
      </c>
      <c r="E31" s="154">
        <f>IF(Table_Fluidprop_10C[[#This Row],[Fluid physical properties]]=Fields!$B$9,"",'Specification sheet'!E44)</f>
        <v>1865</v>
      </c>
      <c r="F31" s="155">
        <f>IF(Table_Fluidprop_10C[[#This Row],[Fluid physical properties]]=Fields!$B$9,"",'Specification sheet'!E50)</f>
        <v>0.1241</v>
      </c>
      <c r="G31" s="156">
        <f>IF(Table_Fluidprop_10C[[#This Row],[Fluid physical properties]]=Fields!$B$9,"",'Specification sheet'!E56)</f>
        <v>5.5</v>
      </c>
      <c r="H31" s="157">
        <f>IF(Table_Fluidprop_10C[[#This Row],[Fluid physical properties]]=Fields!$B$9,"",G31*D31/1000)</f>
        <v>4.43355</v>
      </c>
      <c r="I31" s="157">
        <f>IF(Table_Fluidprop_10C[[#This Row],[Fluid physical properties]]=Fields!$B$9,"",Table_Fluidprop_10C[[#This Row],[Dynamic viscosity (cp)
(calculated)]]/1000)</f>
        <v>0.00443355</v>
      </c>
      <c r="J31" s="158">
        <f>IF(Table_Fluidprop_10C[[#This Row],[Fluid physical properties]]=Fields!$B$9,"",'Specification sheet'!E62)</f>
        <v>0.00015</v>
      </c>
    </row>
    <row r="32" spans="2:10" x14ac:dyDescent="0.25">
      <c r="B32" s="144">
        <f>IF('Specification sheet'!C$9=Fields!E$6,IF('Specification sheet'!E$13&gt;Fields!B24,Fields!B24,Fields!$B$9),Fields!B24)</f>
        <v>70</v>
      </c>
      <c r="C32" s="152">
        <f>IF(Table_Fluidprop_10C[[#This Row],[Fluid physical properties]]=Fields!$B$9,"",'Specification sheet'!E33)</f>
        <v>358</v>
      </c>
      <c r="D32" s="153">
        <f>IF(Table_Fluidprop_10C[[#This Row],[Fluid physical properties]]=Fields!$B$9,"",'Specification sheet'!E39)</f>
        <v>799.6</v>
      </c>
      <c r="E32" s="154">
        <f>IF(Table_Fluidprop_10C[[#This Row],[Fluid physical properties]]=Fields!$B$9,"",'Specification sheet'!E45)</f>
        <v>1896</v>
      </c>
      <c r="F32" s="155">
        <f>IF(Table_Fluidprop_10C[[#This Row],[Fluid physical properties]]=Fields!$B$9,"",'Specification sheet'!E51)</f>
        <v>0.1229</v>
      </c>
      <c r="G32" s="156">
        <f>IF(Table_Fluidprop_10C[[#This Row],[Fluid physical properties]]=Fields!$B$9,"",'Specification sheet'!E57)</f>
        <v>4.39</v>
      </c>
      <c r="H32" s="157">
        <f>IF(Table_Fluidprop_10C[[#This Row],[Fluid physical properties]]=Fields!$B$9,"",G32*D32/1000)</f>
        <v>3.510244</v>
      </c>
      <c r="I32" s="157">
        <f>IF(Table_Fluidprop_10C[[#This Row],[Fluid physical properties]]=Fields!$B$9,"",Table_Fluidprop_10C[[#This Row],[Dynamic viscosity (cp)
(calculated)]]/1000)</f>
        <v>0.003510244</v>
      </c>
      <c r="J32" s="158">
        <f>IF(Table_Fluidprop_10C[[#This Row],[Fluid physical properties]]=Fields!$B$9,"",'Specification sheet'!E63)</f>
        <v>0.0004</v>
      </c>
    </row>
    <row r="34" spans="2:6" x14ac:dyDescent="0.25">
      <c r="B34" s="120" t="s">
        <v>159</v>
      </c>
      <c r="C34" s="163" t="s">
        <v>145</v>
      </c>
      <c r="D34" s="163" t="s">
        <v>146</v>
      </c>
    </row>
    <row r="35" spans="2:6" x14ac:dyDescent="0.25">
      <c r="B35" s="120" t="str">
        <f>'Specification sheet'!D20</f>
        <v>20 GHz @ 20°C</v>
      </c>
      <c r="C35" s="150">
        <f>'Specification sheet'!E20</f>
        <v>2.14</v>
      </c>
      <c r="D35" s="151">
        <f>'Specification sheet'!E24</f>
        <v>0.001</v>
      </c>
    </row>
    <row r="36" spans="2:6" x14ac:dyDescent="0.25">
      <c r="B36" s="120" t="str">
        <f>'Specification sheet'!D21</f>
        <v>40 GHz @ 20°C</v>
      </c>
      <c r="C36" s="150">
        <f>'Specification sheet'!E21</f>
        <v>2.14</v>
      </c>
      <c r="D36" s="151">
        <f>'Specification sheet'!E25</f>
        <v>0.001</v>
      </c>
    </row>
    <row r="37" spans="2:6" x14ac:dyDescent="0.25">
      <c r="B37" s="120" t="str">
        <f>'Specification sheet'!D22</f>
        <v>20 GHz @ 70°C</v>
      </c>
      <c r="C37" s="150">
        <f>'Specification sheet'!E22</f>
        <v>2.08</v>
      </c>
      <c r="D37" s="151">
        <f>'Specification sheet'!E26</f>
        <v>0.001</v>
      </c>
    </row>
    <row r="38" spans="2:6" x14ac:dyDescent="0.25">
      <c r="B38" s="120" t="str">
        <f>'Specification sheet'!D23</f>
        <v>40 GHz @ 70°C</v>
      </c>
      <c r="C38" s="150">
        <f>'Specification sheet'!E23</f>
        <v>2.08</v>
      </c>
      <c r="D38" s="151">
        <f>'Specification sheet'!E27</f>
        <v>0.001</v>
      </c>
    </row>
    <row r="40" spans="2:6" x14ac:dyDescent="0.25">
      <c r="B40" s="145" t="s">
        <v>153</v>
      </c>
      <c r="C40" s="163" t="s">
        <v>154</v>
      </c>
      <c r="D40" s="163" t="s">
        <v>155</v>
      </c>
      <c r="E40" s="163" t="s">
        <v>156</v>
      </c>
      <c r="F40" s="120"/>
    </row>
    <row r="41" spans="2:6" x14ac:dyDescent="0.25">
      <c r="B41" s="146">
        <f>Fields!B19</f>
        <v>20</v>
      </c>
      <c r="C41" s="147">
        <f t="shared" ref="C41:C46" si="0">F27*(D$8*E27*D27^2/I27/F27)^0.2813</f>
        <v>35.2997034441989</v>
      </c>
      <c r="D41" s="147">
        <f t="shared" ref="D41:D46" si="1">F27*(D27*E27/F27)^(1/3)</f>
        <v>28.8869191313982</v>
      </c>
      <c r="E41" s="148">
        <f t="shared" ref="E41:E46" si="2">I27</f>
        <v>0.015928308</v>
      </c>
      <c r="F41" s="148"/>
    </row>
    <row r="42" spans="2:6" x14ac:dyDescent="0.25">
      <c r="B42" s="146">
        <f>Fields!B20</f>
        <v>30</v>
      </c>
      <c r="C42" s="147">
        <f t="shared" si="0"/>
        <v>39.0982137994849</v>
      </c>
      <c r="D42" s="147">
        <f t="shared" si="1"/>
        <v>28.7845260470433</v>
      </c>
      <c r="E42" s="148">
        <f t="shared" si="2"/>
        <v>0.01081667</v>
      </c>
      <c r="F42" s="148"/>
    </row>
    <row r="43" spans="2:6" x14ac:dyDescent="0.25">
      <c r="B43" s="146">
        <f>Fields!B21</f>
        <v>40</v>
      </c>
      <c r="C43" s="147">
        <f t="shared" si="0"/>
        <v>42.6887647064476</v>
      </c>
      <c r="D43" s="147">
        <f t="shared" si="1"/>
        <v>28.6778304469522</v>
      </c>
      <c r="E43" s="148">
        <f t="shared" si="2"/>
        <v>0.007725056</v>
      </c>
      <c r="F43" s="148"/>
    </row>
    <row r="44" spans="2:6" x14ac:dyDescent="0.25">
      <c r="B44" s="146">
        <f>Fields!B22</f>
        <v>50</v>
      </c>
      <c r="C44" s="147">
        <f t="shared" si="0"/>
        <v>46.0747037462627</v>
      </c>
      <c r="D44" s="147">
        <f t="shared" si="1"/>
        <v>28.5825163650544</v>
      </c>
      <c r="E44" s="148">
        <f t="shared" si="2"/>
        <v>0.005753916</v>
      </c>
      <c r="F44" s="148"/>
    </row>
    <row r="45" spans="2:6" x14ac:dyDescent="0.25">
      <c r="B45" s="146">
        <f>Fields!B23</f>
        <v>60</v>
      </c>
      <c r="C45" s="147">
        <f t="shared" si="0"/>
        <v>49.2806703926941</v>
      </c>
      <c r="D45" s="147">
        <f t="shared" si="1"/>
        <v>28.5016787089426</v>
      </c>
      <c r="E45" s="148">
        <f t="shared" si="2"/>
        <v>0.00443355</v>
      </c>
      <c r="F45" s="148"/>
    </row>
    <row r="46" spans="2:6" x14ac:dyDescent="0.25">
      <c r="B46" s="146">
        <f>Fields!B24</f>
        <v>70</v>
      </c>
      <c r="C46" s="147">
        <f t="shared" si="0"/>
        <v>52.2645720306354</v>
      </c>
      <c r="D46" s="147">
        <f t="shared" si="1"/>
        <v>28.3969455087349</v>
      </c>
      <c r="E46" s="148">
        <f t="shared" si="2"/>
        <v>0.003510244</v>
      </c>
      <c r="F46" s="148"/>
    </row>
    <row r="48" spans="2:6" x14ac:dyDescent="0.25">
      <c r="B48" s="12" t="s">
        <v>157</v>
      </c>
      <c r="C48" s="163" t="s">
        <v>148</v>
      </c>
      <c r="D48" s="163" t="s">
        <v>149</v>
      </c>
    </row>
    <row r="49" spans="2:4" x14ac:dyDescent="0.25">
      <c r="B49" s="138" t="str">
        <f>'Specification sheet'!B13</f>
        <v>Boiling point temperature</v>
      </c>
      <c r="C49" s="140" t="str">
        <f>'Specification sheet'!C13</f>
        <v>ASTM D2887</v>
      </c>
      <c r="D49" s="139" t="str">
        <f>'Specification sheet'!E13</f>
        <v>N/A</v>
      </c>
    </row>
    <row r="50" spans="2:4" x14ac:dyDescent="0.25">
      <c r="B50" s="138" t="str">
        <f>'Specification sheet'!B14</f>
        <v>Latent heat of vaporization</v>
      </c>
      <c r="C50" s="140" t="str">
        <f>'Specification sheet'!C14</f>
        <v>ASTM E2071</v>
      </c>
      <c r="D50" s="141" t="str">
        <f>'Specification sheet'!E14</f>
        <v>N/A</v>
      </c>
    </row>
    <row r="51" spans="2:4" x14ac:dyDescent="0.25">
      <c r="B51" s="138" t="str">
        <f>'Specification sheet'!B15</f>
        <v>Surface tension</v>
      </c>
      <c r="C51" s="140" t="str">
        <f>'Specification sheet'!C15</f>
        <v>ASTM D1331</v>
      </c>
      <c r="D51" s="142" t="str">
        <f>'Specification sheet'!E15</f>
        <v>N/A</v>
      </c>
    </row>
    <row r="52" spans="2:4" x14ac:dyDescent="0.25">
      <c r="B52" s="138" t="str">
        <f>'Specification sheet'!B16</f>
        <v>Vapor density</v>
      </c>
      <c r="C52" s="140" t="str">
        <f>'Specification sheet'!C16</f>
        <v>TBD</v>
      </c>
      <c r="D52" s="143" t="str">
        <f>'Specification sheet'!E16</f>
        <v>N/A</v>
      </c>
    </row>
    <row r="53" spans="2:4" x14ac:dyDescent="0.25">
      <c r="B53" s="138" t="s">
        <v>160</v>
      </c>
      <c r="C53" s="149" t="str">
        <f>D49</f>
        <v>N/A</v>
      </c>
      <c r="D53" s="139" t="e">
        <f>($D$52^0.5*$D$50*($D$51*9.81*((((C53-B28)*D8)+D28)-$D$52))^0.25)</f>
        <v>#VALUE!</v>
      </c>
    </row>
    <row r="56" spans="2:4" x14ac:dyDescent="0.25">
      <c r="B56" s="120"/>
    </row>
  </sheetData>
  <sheetProtection sheet="1" objects="1" scenarios="1"/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D82A-F783-46DF-8DC1-3FAE315100C5}">
  <dimension ref="B1:L24"/>
  <sheetViews>
    <sheetView workbookViewId="0"/>
  </sheetViews>
  <sheetFormatPr defaultRowHeight="15" x14ac:dyDescent="0.25"/>
  <cols>
    <col min="2" max="2" width="18" bestFit="1" customWidth="1"/>
    <col min="3" max="5" width="16.7109375" bestFit="1" customWidth="1"/>
    <col min="6" max="6" width="32.7109375" bestFit="1" customWidth="1"/>
    <col min="7" max="7" width="15.85546875" bestFit="1" customWidth="1"/>
    <col min="8" max="8" width="20.28515625" bestFit="1" customWidth="1"/>
    <col min="9" max="9" width="22.140625" bestFit="1" customWidth="1"/>
    <col min="10" max="10" width="28.7109375" bestFit="1" customWidth="1"/>
    <col min="11" max="11" width="45.140625" bestFit="1" customWidth="1"/>
    <col min="12" max="12" width="17.5703125" bestFit="1" customWidth="1"/>
  </cols>
  <sheetData>
    <row r="1" spans="2:12" ht="15.75" thickBot="1" x14ac:dyDescent="0.3"/>
    <row r="2" spans="2:12" ht="15.75" thickBot="1" x14ac:dyDescent="0.3">
      <c r="B2" s="7" t="s">
        <v>36</v>
      </c>
      <c r="C2" s="7" t="s">
        <v>39</v>
      </c>
      <c r="D2" s="7" t="s">
        <v>38</v>
      </c>
      <c r="E2" s="15" t="s">
        <v>31</v>
      </c>
      <c r="F2" s="16" t="s">
        <v>30</v>
      </c>
      <c r="G2" s="6" t="s">
        <v>43</v>
      </c>
      <c r="H2" s="5" t="s">
        <v>46</v>
      </c>
      <c r="I2" s="7" t="s">
        <v>50</v>
      </c>
      <c r="J2" s="7" t="s">
        <v>5</v>
      </c>
      <c r="K2" s="5" t="s">
        <v>66</v>
      </c>
      <c r="L2" s="7" t="s">
        <v>22</v>
      </c>
    </row>
    <row r="3" spans="2:12" x14ac:dyDescent="0.25">
      <c r="B3" s="10" t="s">
        <v>23</v>
      </c>
      <c r="C3" s="10" t="s">
        <v>40</v>
      </c>
      <c r="D3" s="10" t="s">
        <v>4</v>
      </c>
      <c r="E3" s="17" t="s">
        <v>32</v>
      </c>
      <c r="F3" s="46">
        <v>0.01</v>
      </c>
      <c r="G3" s="12" t="s">
        <v>44</v>
      </c>
      <c r="H3" s="14" t="s">
        <v>47</v>
      </c>
      <c r="I3" s="10" t="s">
        <v>51</v>
      </c>
      <c r="J3" s="10" t="s">
        <v>59</v>
      </c>
      <c r="K3" s="14" t="s">
        <v>70</v>
      </c>
      <c r="L3" s="10" t="s">
        <v>122</v>
      </c>
    </row>
    <row r="4" spans="2:12" x14ac:dyDescent="0.25">
      <c r="B4" s="10" t="s">
        <v>24</v>
      </c>
      <c r="C4" s="10" t="s">
        <v>41</v>
      </c>
      <c r="D4" s="10" t="s">
        <v>42</v>
      </c>
      <c r="E4" s="17" t="s">
        <v>33</v>
      </c>
      <c r="F4" s="46">
        <v>0.06</v>
      </c>
      <c r="G4" s="12" t="s">
        <v>45</v>
      </c>
      <c r="H4" s="14" t="s">
        <v>48</v>
      </c>
      <c r="I4" s="10" t="s">
        <v>52</v>
      </c>
      <c r="J4" s="10" t="s">
        <v>60</v>
      </c>
      <c r="K4" s="14" t="s">
        <v>67</v>
      </c>
      <c r="L4" s="10" t="s">
        <v>123</v>
      </c>
    </row>
    <row r="5" spans="2:12" ht="15.75" thickBot="1" x14ac:dyDescent="0.3">
      <c r="B5" s="10" t="s">
        <v>161</v>
      </c>
      <c r="C5" s="10" t="s">
        <v>37</v>
      </c>
      <c r="D5" s="10" t="s">
        <v>37</v>
      </c>
      <c r="E5" s="17" t="s">
        <v>34</v>
      </c>
      <c r="F5" s="46">
        <v>0.03</v>
      </c>
      <c r="G5" s="13" t="str">
        <f>$B$7</f>
        <v>(Select from list)</v>
      </c>
      <c r="H5" s="14" t="s">
        <v>49</v>
      </c>
      <c r="I5" s="10" t="s">
        <v>53</v>
      </c>
      <c r="J5" s="10" t="s">
        <v>61</v>
      </c>
      <c r="K5" s="14" t="s">
        <v>68</v>
      </c>
      <c r="L5" s="10" t="s">
        <v>124</v>
      </c>
    </row>
    <row r="6" spans="2:12" ht="15.75" thickBot="1" x14ac:dyDescent="0.3">
      <c r="B6" s="10" t="s">
        <v>25</v>
      </c>
      <c r="C6" s="11" t="str">
        <f>$B$7</f>
        <v>(Select from list)</v>
      </c>
      <c r="D6" s="11" t="str">
        <f>$B$7</f>
        <v>(Select from list)</v>
      </c>
      <c r="E6" s="17" t="s">
        <v>35</v>
      </c>
      <c r="F6" s="46">
        <v>1E-3</v>
      </c>
      <c r="G6" s="3"/>
      <c r="H6" s="11" t="str">
        <f>$B$7</f>
        <v>(Select from list)</v>
      </c>
      <c r="I6" s="10" t="s">
        <v>54</v>
      </c>
      <c r="J6" s="10" t="s">
        <v>57</v>
      </c>
      <c r="K6" s="47" t="s">
        <v>69</v>
      </c>
      <c r="L6" s="11" t="str">
        <f>$B$7</f>
        <v>(Select from list)</v>
      </c>
    </row>
    <row r="7" spans="2:12" ht="15.75" thickBot="1" x14ac:dyDescent="0.3">
      <c r="B7" s="11" t="s">
        <v>27</v>
      </c>
      <c r="E7" s="17" t="s">
        <v>37</v>
      </c>
      <c r="F7" s="42" t="s">
        <v>62</v>
      </c>
      <c r="G7" s="3"/>
      <c r="H7" s="3"/>
      <c r="I7" s="10" t="s">
        <v>55</v>
      </c>
      <c r="J7" s="11" t="str">
        <f>$B$7</f>
        <v>(Select from list)</v>
      </c>
      <c r="K7" s="3"/>
    </row>
    <row r="8" spans="2:12" ht="15.75" thickBot="1" x14ac:dyDescent="0.3">
      <c r="E8" s="18" t="s">
        <v>190</v>
      </c>
      <c r="F8" s="43" t="s">
        <v>118</v>
      </c>
      <c r="G8" s="3"/>
      <c r="H8" s="3"/>
      <c r="I8" s="10" t="s">
        <v>56</v>
      </c>
      <c r="K8" s="3"/>
    </row>
    <row r="9" spans="2:12" x14ac:dyDescent="0.25">
      <c r="B9" s="120" t="s">
        <v>161</v>
      </c>
      <c r="H9" s="3"/>
      <c r="I9" s="10" t="s">
        <v>58</v>
      </c>
    </row>
    <row r="10" spans="2:12" x14ac:dyDescent="0.25">
      <c r="H10" s="3"/>
      <c r="I10" s="10" t="s">
        <v>57</v>
      </c>
    </row>
    <row r="11" spans="2:12" ht="15.75" thickBot="1" x14ac:dyDescent="0.3">
      <c r="H11" s="3"/>
      <c r="I11" s="11" t="str">
        <f>$B$7</f>
        <v>(Select from list)</v>
      </c>
    </row>
    <row r="17" spans="2:4" ht="15.75" thickBot="1" x14ac:dyDescent="0.3"/>
    <row r="18" spans="2:4" x14ac:dyDescent="0.25">
      <c r="B18" s="123" t="s">
        <v>98</v>
      </c>
      <c r="C18" s="48" t="s">
        <v>147</v>
      </c>
      <c r="D18" s="48" t="s">
        <v>136</v>
      </c>
    </row>
    <row r="19" spans="2:4" x14ac:dyDescent="0.25">
      <c r="B19" s="124">
        <v>20</v>
      </c>
      <c r="C19" s="49" t="s">
        <v>100</v>
      </c>
      <c r="D19" s="10" t="s">
        <v>137</v>
      </c>
    </row>
    <row r="20" spans="2:4" x14ac:dyDescent="0.25">
      <c r="B20" s="124">
        <v>30</v>
      </c>
      <c r="C20" s="49" t="s">
        <v>99</v>
      </c>
      <c r="D20" s="10" t="s">
        <v>138</v>
      </c>
    </row>
    <row r="21" spans="2:4" ht="15.75" thickBot="1" x14ac:dyDescent="0.3">
      <c r="B21" s="124">
        <v>40</v>
      </c>
      <c r="C21" s="49" t="s">
        <v>101</v>
      </c>
      <c r="D21" s="11" t="str">
        <f>$B$7</f>
        <v>(Select from list)</v>
      </c>
    </row>
    <row r="22" spans="2:4" x14ac:dyDescent="0.25">
      <c r="B22" s="124">
        <v>50</v>
      </c>
      <c r="C22" s="49" t="s">
        <v>102</v>
      </c>
    </row>
    <row r="23" spans="2:4" x14ac:dyDescent="0.25">
      <c r="B23" s="124">
        <v>60</v>
      </c>
      <c r="C23" s="49" t="s">
        <v>103</v>
      </c>
    </row>
    <row r="24" spans="2:4" ht="15.75" thickBot="1" x14ac:dyDescent="0.3">
      <c r="B24" s="125">
        <v>70</v>
      </c>
      <c r="C24" s="50" t="s">
        <v>104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F3BE55705CD44BD8CC031C4D0FEB7" ma:contentTypeVersion="13" ma:contentTypeDescription="Create a new document." ma:contentTypeScope="" ma:versionID="420b85d8ad4f24ac700efb0cd4725ba2">
  <xsd:schema xmlns:xsd="http://www.w3.org/2001/XMLSchema" xmlns:xs="http://www.w3.org/2001/XMLSchema" xmlns:p="http://schemas.microsoft.com/office/2006/metadata/properties" xmlns:ns2="8a2be7ce-0642-4faa-ae73-288c6e42c2a5" xmlns:ns3="a73cce96-e81d-4fd3-8a5d-cda965f98edc" targetNamespace="http://schemas.microsoft.com/office/2006/metadata/properties" ma:root="true" ma:fieldsID="7500ab227335f37e1f773ba13ebbdbbe" ns2:_="" ns3:_="">
    <xsd:import namespace="8a2be7ce-0642-4faa-ae73-288c6e42c2a5"/>
    <xsd:import namespace="a73cce96-e81d-4fd3-8a5d-cda965f98ed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be7ce-0642-4faa-ae73-288c6e42c2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cce96-e81d-4fd3-8a5d-cda965f9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95270-2280-4A6D-9F1F-4488C3CD3E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77BBBA-AB3D-40F5-9166-D6442DD3AB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FBC16-5BB1-45A8-BA2B-8E94B69A4D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2be7ce-0642-4faa-ae73-288c6e42c2a5"/>
    <ds:schemaRef ds:uri="a73cce96-e81d-4fd3-8a5d-cda965f98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Revision, License &amp; Use</vt:lpstr>
      <vt:lpstr>Specification sheet</vt:lpstr>
      <vt:lpstr>GENERATED FLUID SPECSHEET</vt:lpstr>
      <vt:lpstr>Fields</vt:lpstr>
      <vt:lpstr>FLUIDCATEGORY</vt:lpstr>
      <vt:lpstr>FLUIDTYPE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</dc:creator>
  <cp:lastModifiedBy>Rolf Brink (Promersion)</cp:lastModifiedBy>
  <dcterms:created xsi:type="dcterms:W3CDTF">2021-11-30T16:38:35Z</dcterms:created>
  <dcterms:modified xsi:type="dcterms:W3CDTF">2024-03-08T13:54:01Z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0x010100823F3BE55705CD44BD8CC031C4D0FEB7</vt:lpwstr>
  </property>
</Properties>
</file>